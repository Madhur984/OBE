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NBA\2024-25\"/>
    </mc:Choice>
  </mc:AlternateContent>
  <xr:revisionPtr revIDLastSave="0" documentId="13_ncr:1_{7240CC34-E1A8-44C6-840D-79527586938E}" xr6:coauthVersionLast="47" xr6:coauthVersionMax="47" xr10:uidLastSave="{00000000-0000-0000-0000-000000000000}"/>
  <bookViews>
    <workbookView xWindow="-110" yWindow="-110" windowWidth="19420" windowHeight="10300" activeTab="1" xr2:uid="{00000000-000D-0000-FFFF-FFFF00000000}"/>
  </bookViews>
  <sheets>
    <sheet name="CO-PO Mapping 2nd" sheetId="1" r:id="rId1"/>
    <sheet name="CO-PO Mapping 3rd" sheetId="2" r:id="rId2"/>
    <sheet name="CO-PO Mapping 4th" sheetId="3" r:id="rId3"/>
  </sheets>
  <definedNames>
    <definedName name="_GoBack" localSheetId="0">'CO-PO Mapping 2nd'!$M$28</definedName>
    <definedName name="_GoBack" localSheetId="1">'CO-PO Mapping 3rd'!#REF!</definedName>
    <definedName name="_GoBack" localSheetId="2">'CO-PO Mapping 4th'!#REF!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mWvNt/hV6Wna1/vSPcgVABMLGIBRR90+dX6edipe0o0="/>
    </ext>
  </extLst>
</workbook>
</file>

<file path=xl/calcChain.xml><?xml version="1.0" encoding="utf-8"?>
<calcChain xmlns="http://schemas.openxmlformats.org/spreadsheetml/2006/main">
  <c r="O56" i="3" l="1"/>
  <c r="N56" i="3"/>
  <c r="M56" i="3"/>
  <c r="K56" i="3"/>
  <c r="J56" i="3"/>
  <c r="F56" i="3"/>
  <c r="E56" i="3"/>
  <c r="D56" i="3"/>
  <c r="C56" i="3"/>
  <c r="B56" i="3"/>
  <c r="K49" i="3"/>
  <c r="J49" i="3"/>
  <c r="I49" i="3"/>
  <c r="H49" i="3"/>
  <c r="G49" i="3"/>
  <c r="O42" i="3"/>
  <c r="N42" i="3"/>
  <c r="M42" i="3"/>
  <c r="K42" i="3"/>
  <c r="J42" i="3"/>
  <c r="F42" i="3"/>
  <c r="E42" i="3"/>
  <c r="D42" i="3"/>
  <c r="C42" i="3"/>
  <c r="B42" i="3"/>
  <c r="K35" i="3"/>
  <c r="B35" i="3"/>
  <c r="O34" i="3"/>
  <c r="O35" i="3" s="1"/>
  <c r="N34" i="3"/>
  <c r="N35" i="3" s="1"/>
  <c r="M34" i="3"/>
  <c r="M35" i="3" s="1"/>
  <c r="F34" i="3"/>
  <c r="F35" i="3" s="1"/>
  <c r="E34" i="3"/>
  <c r="E35" i="3" s="1"/>
  <c r="D34" i="3"/>
  <c r="D35" i="3" s="1"/>
  <c r="C34" i="3"/>
  <c r="C35" i="3" s="1"/>
  <c r="B34" i="3"/>
  <c r="O29" i="3"/>
  <c r="N29" i="3"/>
  <c r="M29" i="3"/>
  <c r="F29" i="3"/>
  <c r="E29" i="3"/>
  <c r="D29" i="3"/>
  <c r="C29" i="3"/>
  <c r="B29" i="3"/>
  <c r="O15" i="3"/>
  <c r="N15" i="3"/>
  <c r="M15" i="3"/>
  <c r="F15" i="3"/>
  <c r="E15" i="3"/>
  <c r="D15" i="3"/>
  <c r="C15" i="3"/>
  <c r="B15" i="3"/>
  <c r="M126" i="2"/>
  <c r="L126" i="2"/>
  <c r="K126" i="2"/>
  <c r="J126" i="2"/>
  <c r="I126" i="2"/>
  <c r="H126" i="2"/>
  <c r="G126" i="2"/>
  <c r="O119" i="2"/>
  <c r="N119" i="2"/>
  <c r="M119" i="2"/>
  <c r="F119" i="2"/>
  <c r="E119" i="2"/>
  <c r="D119" i="2"/>
  <c r="C119" i="2"/>
  <c r="B119" i="2"/>
  <c r="O113" i="2"/>
  <c r="N113" i="2"/>
  <c r="M113" i="2"/>
  <c r="F113" i="2"/>
  <c r="E113" i="2"/>
  <c r="D113" i="2"/>
  <c r="C113" i="2"/>
  <c r="B113" i="2"/>
  <c r="O105" i="2"/>
  <c r="N105" i="2"/>
  <c r="M105" i="2"/>
  <c r="F105" i="2"/>
  <c r="E105" i="2"/>
  <c r="D105" i="2"/>
  <c r="C105" i="2"/>
  <c r="B105" i="2"/>
  <c r="O98" i="2"/>
  <c r="N98" i="2"/>
  <c r="M98" i="2"/>
  <c r="F98" i="2"/>
  <c r="E98" i="2"/>
  <c r="D98" i="2"/>
  <c r="C98" i="2"/>
  <c r="B98" i="2"/>
  <c r="O91" i="2"/>
  <c r="N91" i="2"/>
  <c r="M91" i="2"/>
  <c r="F91" i="2"/>
  <c r="E91" i="2"/>
  <c r="D91" i="2"/>
  <c r="C91" i="2"/>
  <c r="B91" i="2"/>
  <c r="M70" i="2"/>
  <c r="L70" i="2"/>
  <c r="K70" i="2"/>
  <c r="J70" i="2"/>
  <c r="I70" i="2"/>
  <c r="H70" i="2"/>
  <c r="G70" i="2"/>
  <c r="O63" i="2"/>
  <c r="N63" i="2"/>
  <c r="M63" i="2"/>
  <c r="F63" i="2"/>
  <c r="E63" i="2"/>
  <c r="D63" i="2"/>
  <c r="C63" i="2"/>
  <c r="B63" i="2"/>
  <c r="O58" i="2"/>
  <c r="N58" i="2"/>
  <c r="M58" i="2"/>
  <c r="F58" i="2"/>
  <c r="E58" i="2"/>
  <c r="D58" i="2"/>
  <c r="C58" i="2"/>
  <c r="B58" i="2"/>
  <c r="O51" i="2"/>
  <c r="N51" i="2"/>
  <c r="M51" i="2"/>
  <c r="F51" i="2"/>
  <c r="E51" i="2"/>
  <c r="D51" i="2"/>
  <c r="C51" i="2"/>
  <c r="B51" i="2"/>
  <c r="O44" i="2"/>
  <c r="N44" i="2"/>
  <c r="M44" i="2"/>
  <c r="F44" i="2"/>
  <c r="E44" i="2"/>
  <c r="D44" i="2"/>
  <c r="C44" i="2"/>
  <c r="B44" i="2"/>
  <c r="O30" i="2"/>
  <c r="N30" i="2"/>
  <c r="M30" i="2"/>
  <c r="F30" i="2"/>
  <c r="E30" i="2"/>
  <c r="D30" i="2"/>
  <c r="C30" i="2"/>
  <c r="B30" i="2"/>
  <c r="O125" i="1"/>
  <c r="N125" i="1"/>
  <c r="M125" i="1"/>
  <c r="F125" i="1"/>
  <c r="E125" i="1"/>
  <c r="D125" i="1"/>
  <c r="C125" i="1"/>
  <c r="B125" i="1"/>
  <c r="O118" i="1"/>
  <c r="N118" i="1"/>
  <c r="M118" i="1"/>
  <c r="F118" i="1"/>
  <c r="E118" i="1"/>
  <c r="D118" i="1"/>
  <c r="C118" i="1"/>
  <c r="B118" i="1"/>
  <c r="O111" i="1"/>
  <c r="N111" i="1"/>
  <c r="M111" i="1"/>
  <c r="F111" i="1"/>
  <c r="E111" i="1"/>
  <c r="D111" i="1"/>
  <c r="C111" i="1"/>
  <c r="B111" i="1"/>
  <c r="O104" i="1"/>
  <c r="N104" i="1"/>
  <c r="M104" i="1"/>
  <c r="F104" i="1"/>
  <c r="E104" i="1"/>
  <c r="D104" i="1"/>
  <c r="C104" i="1"/>
  <c r="B104" i="1"/>
  <c r="O97" i="1"/>
  <c r="N97" i="1"/>
  <c r="M97" i="1"/>
  <c r="F97" i="1"/>
  <c r="E97" i="1"/>
  <c r="D97" i="1"/>
  <c r="C97" i="1"/>
  <c r="B97" i="1"/>
  <c r="O90" i="1"/>
  <c r="N90" i="1"/>
  <c r="M90" i="1"/>
  <c r="F90" i="1"/>
  <c r="E90" i="1"/>
  <c r="D90" i="1"/>
  <c r="C90" i="1"/>
  <c r="B90" i="1"/>
  <c r="O83" i="1"/>
  <c r="N83" i="1"/>
  <c r="M83" i="1"/>
  <c r="F83" i="1"/>
  <c r="E83" i="1"/>
  <c r="D83" i="1"/>
  <c r="C83" i="1"/>
  <c r="B83" i="1"/>
  <c r="L76" i="1"/>
  <c r="K76" i="1"/>
  <c r="J76" i="1"/>
  <c r="I76" i="1"/>
  <c r="H76" i="1"/>
  <c r="G76" i="1"/>
  <c r="O69" i="1"/>
  <c r="N69" i="1"/>
  <c r="L69" i="1"/>
  <c r="K69" i="1"/>
  <c r="J69" i="1"/>
  <c r="F69" i="1"/>
  <c r="E69" i="1"/>
  <c r="D69" i="1"/>
  <c r="O62" i="1"/>
  <c r="N62" i="1"/>
  <c r="M62" i="1"/>
  <c r="F62" i="1"/>
  <c r="E62" i="1"/>
  <c r="D62" i="1"/>
  <c r="C62" i="1"/>
  <c r="B62" i="1"/>
  <c r="O57" i="1"/>
  <c r="N57" i="1"/>
  <c r="M57" i="1"/>
  <c r="F57" i="1"/>
  <c r="E57" i="1"/>
  <c r="D57" i="1"/>
  <c r="C57" i="1"/>
  <c r="B57" i="1"/>
  <c r="O50" i="1"/>
  <c r="N50" i="1"/>
  <c r="M50" i="1"/>
  <c r="F50" i="1"/>
  <c r="E50" i="1"/>
  <c r="D50" i="1"/>
  <c r="C50" i="1"/>
  <c r="B50" i="1"/>
  <c r="O44" i="1"/>
  <c r="N44" i="1"/>
  <c r="M44" i="1"/>
  <c r="F44" i="1"/>
  <c r="E44" i="1"/>
  <c r="D44" i="1"/>
  <c r="C44" i="1"/>
  <c r="B44" i="1"/>
  <c r="O37" i="1"/>
  <c r="N37" i="1"/>
  <c r="M37" i="1"/>
  <c r="F37" i="1"/>
  <c r="E37" i="1"/>
  <c r="D37" i="1"/>
  <c r="C37" i="1"/>
  <c r="B37" i="1"/>
  <c r="O30" i="1"/>
  <c r="N30" i="1"/>
  <c r="M30" i="1"/>
  <c r="F30" i="1"/>
  <c r="E30" i="1"/>
  <c r="D30" i="1"/>
  <c r="C30" i="1"/>
  <c r="B30" i="1"/>
  <c r="O23" i="1"/>
  <c r="N23" i="1"/>
  <c r="M23" i="1"/>
  <c r="F23" i="1"/>
  <c r="E23" i="1"/>
  <c r="D23" i="1"/>
  <c r="C23" i="1"/>
  <c r="B23" i="1"/>
  <c r="M16" i="1"/>
  <c r="J16" i="1"/>
  <c r="I16" i="1"/>
  <c r="H16" i="1"/>
  <c r="G16" i="1"/>
  <c r="O9" i="1"/>
  <c r="N9" i="1"/>
  <c r="M9" i="1"/>
  <c r="F9" i="1"/>
  <c r="E9" i="1"/>
  <c r="D9" i="1"/>
  <c r="C9" i="1"/>
  <c r="B9" i="1"/>
</calcChain>
</file>

<file path=xl/sharedStrings.xml><?xml version="1.0" encoding="utf-8"?>
<sst xmlns="http://schemas.openxmlformats.org/spreadsheetml/2006/main" count="920" uniqueCount="275">
  <si>
    <t>Course Outcomes and CO-PO/PSO Mappings: ECE (2023-24)</t>
  </si>
  <si>
    <t>MATHEMATICS-III (KAS-302)</t>
  </si>
  <si>
    <t>PO1</t>
  </si>
  <si>
    <t>PO2</t>
  </si>
  <si>
    <t>PO3</t>
  </si>
  <si>
    <t>PO4</t>
  </si>
  <si>
    <t>PO5</t>
  </si>
  <si>
    <t>PO6</t>
  </si>
  <si>
    <t>PO7</t>
  </si>
  <si>
    <t>PO8</t>
  </si>
  <si>
    <t>PO9</t>
  </si>
  <si>
    <t>PO10</t>
  </si>
  <si>
    <t>PO11</t>
  </si>
  <si>
    <t>PO12</t>
  </si>
  <si>
    <t>PSO1</t>
  </si>
  <si>
    <t>PSO2</t>
  </si>
  <si>
    <t>C201.1 Apply the concept of Laplace transform and apply in solving real life problems.</t>
  </si>
  <si>
    <t>C201.2 Apply the concept of Fourier and Z – transform to evaluate engineering problems</t>
  </si>
  <si>
    <t>C201.3 Apply the concept of Formal Logic ,Group and Rings to evaluate real life problems</t>
  </si>
  <si>
    <t>C201.4 Apply the concept of Set, Relation, function and Counting Techniques</t>
  </si>
  <si>
    <t>C201.5 Apply the concept of Lattices and Boolean Algebra to create Logic Gates and Circuits, Truth Table, Boolean Functions, Karnaugh Maps</t>
  </si>
  <si>
    <t>UHVPE (KVE-301)</t>
  </si>
  <si>
    <t>C202.1 Demonstrate the significance of value inputs in a classroom, distinguish between values and skills, analyse the need, basic guidelines, content and process of value education, explore the meaning of happiness and prosperity and do a correct appraisal of the current scenario in the society</t>
  </si>
  <si>
    <t>C202.2 Distinguish between the Self and the Body, understand the meaning of Harmony in the Self the Co-existence of Self and Body.</t>
  </si>
  <si>
    <t>C202.3 Analyse the value of harmonious relationship based on trust, respect and other naturally acceptable feelings in human-human relationships and explore their role in ensuring a harmonious society</t>
  </si>
  <si>
    <t>C202.4 Analyse the harmony in nature and existence, and work out their mutually fulfilling participation in the nature.</t>
  </si>
  <si>
    <t>C202.5 Distinguish between ethical and unethical practices, and start working out the strategy to actualize a harmonious environment wherever they work.</t>
  </si>
  <si>
    <t>Electronic Devices (BEC-301)</t>
  </si>
  <si>
    <t>C203.1 Describe the principles of semiconductor physics</t>
  </si>
  <si>
    <t>C203.2 Explain the carrier transport in semiconductors.</t>
  </si>
  <si>
    <t>C203.3 Analyze and find application of special purpose diodes</t>
  </si>
  <si>
    <t xml:space="preserve">C203.4 Demonstrate the working principle and design of bipolar junction transistor.
</t>
  </si>
  <si>
    <t>C203.5 Realize the mathematical models of MOS transistors.</t>
  </si>
  <si>
    <t>Electronic Devices (KEC-301)</t>
  </si>
  <si>
    <t>Digital System Design (BEC-302)</t>
  </si>
  <si>
    <t>C204.1 Perform numerous arithmetic and logic simplification using various methods</t>
  </si>
  <si>
    <t>C204.2 Design and analyze modular combinational circuits with MUX / DEMUX, Decoder &amp;enco</t>
  </si>
  <si>
    <t>C204.3 Design &amp;amp; analyze synchronous sequential logic circuits.</t>
  </si>
  <si>
    <t>C204.4 Analyze various logic families and design circuits using PLDs.</t>
  </si>
  <si>
    <t>C204.5 Design various ADCs and DACs according to the given specifications.</t>
  </si>
  <si>
    <t>Network Analysis and Synthesis (BEC303)</t>
  </si>
  <si>
    <t>Network Analysis and Synthesis Lab (BEC353)</t>
  </si>
  <si>
    <t>C208.1 Apply basics of electrical circuits with nodal and mesh analysis.</t>
  </si>
  <si>
    <t>C208.2 Apply the electrical network theorems.</t>
  </si>
  <si>
    <t>C208.3 Analyse RLC circuits.</t>
  </si>
  <si>
    <t>C208.4 Determine the stability of an electrical circuit.</t>
  </si>
  <si>
    <t>C208.5 Design network filters.</t>
  </si>
  <si>
    <t>Digital System Design Lab (BEC352)</t>
  </si>
  <si>
    <t>C207.1 Design and analyze combinational logic circuits.</t>
  </si>
  <si>
    <t>C207.2 Design &amp; analyze modular combinational circuits with MUX/DEMUX, decoder, encoder.</t>
  </si>
  <si>
    <t>C207.3 Design &amp; analyze synchronous sequential logic circuits.</t>
  </si>
  <si>
    <t>C207.4 Design &amp; build mini project using digital ICs.</t>
  </si>
  <si>
    <t>Electronic Devices Lab (BEC351)</t>
  </si>
  <si>
    <t xml:space="preserve">C206.1 Demonstrate the working of basic electronics lab equipment. </t>
  </si>
  <si>
    <t>C206.2 Demonstrate the working of PN junction diode and its applications.</t>
  </si>
  <si>
    <t>C206.3 Demonstrate the characteristics of Zener diode.</t>
  </si>
  <si>
    <t>C206.4 Design a voltage regulator using Zener diode.</t>
  </si>
  <si>
    <t>C206.5 Demonstrate the working of BJT, FET, MOSFET and apply the concept in designing of amplifiers.</t>
  </si>
  <si>
    <t>Mini Project/ Internship (BEC-354)</t>
  </si>
  <si>
    <t xml:space="preserve">C211.1 Demonstrate the functioning of Analog &amp; Digital electronics circuits through Multisim simulations or 8085 programming.                </t>
  </si>
  <si>
    <t>C211.2 Present their work in form of powerpoint presentations.</t>
  </si>
  <si>
    <t>C211.3 Effectively write the learnt simulation and theory principles in form of report.</t>
  </si>
  <si>
    <t>PYTHON PROGRAMMING (BCC-302)</t>
  </si>
  <si>
    <t>C210.1To read and write simple Python programs.</t>
  </si>
  <si>
    <t>C210.2 To develop Python programs with conditionals and loops.</t>
  </si>
  <si>
    <t>C210.3To define Python functions and to use Python data structures – lists, tuples, dictionaries</t>
  </si>
  <si>
    <t>C210.4 To do input/output with files in Python</t>
  </si>
  <si>
    <t>C210.5 To do searching ,sorting and merging in Python</t>
  </si>
  <si>
    <t>Technical Communication (BAS-402)</t>
  </si>
  <si>
    <t xml:space="preserve">C213.1Students will be able to UNDERSTAND the nature and objective of Technical Communication relevant for the work place as Engineers. </t>
  </si>
  <si>
    <t xml:space="preserve">C213.2Students will be able to DEVELOP an understanding of key concepts of writing, designing and speaking. </t>
  </si>
  <si>
    <t>C213.3Students will be able to UTILIZE the technical writing skills for the purposes of Technical Communication and its exposure in various dimensions.</t>
  </si>
  <si>
    <t xml:space="preserve">C213.4 Students will be able BUILD UP interpersonal communication
 traits that will make the transition from institution to workplace 
smoother and help them to excel in their jobs. </t>
  </si>
  <si>
    <t>C213.5Students will be able to APPLY technical communication 
to build their personal brand and handle crisis communication.</t>
  </si>
  <si>
    <t>Communication Engineering (BEC-401)</t>
  </si>
  <si>
    <t>C214.1 Students will be able to examine and compare different analog modulation schemes for their efficiency and bandwidth.</t>
  </si>
  <si>
    <t xml:space="preserve">C214.2 Students will be able to describe the behavior of a communication system in presence of noise. </t>
  </si>
  <si>
    <t>C214.3 Students will be able to differentiate various pulsed modulation system and examine their system performance.</t>
  </si>
  <si>
    <t>C214.4 Students will be able to classify and describe various multiplexing techniques.</t>
  </si>
  <si>
    <t>C214.5 Students will be able to evaluate different digital modulation schemes and compute the bit error performance.</t>
  </si>
  <si>
    <t>Analog Circuits (BEC-402)</t>
  </si>
  <si>
    <t>C215.1Students will be able to describe the characterstics of diodes and transistors.</t>
  </si>
  <si>
    <t>C215.2Students will be able to implement and differentiate different types of feedback.</t>
  </si>
  <si>
    <t>C215.3Students will be able to explain and design oscillators.</t>
  </si>
  <si>
    <t>C215.4 Students will be able to describe current mirrors and design op-amp.</t>
  </si>
  <si>
    <t>C215.5. Students will be able to classify the applications of op-amp and design of active filters.</t>
  </si>
  <si>
    <t>SIGNAL SYSTEM (BEC-403)</t>
  </si>
  <si>
    <t>C216.1 Analyze different types of signals</t>
  </si>
  <si>
    <t>C216.2 Analyze linear shift-invariant (LSI) systems</t>
  </si>
  <si>
    <t>C216.3 Represent continuous and discrete systems in time and frequency domain using Fourier series and transform.</t>
  </si>
  <si>
    <t>C216.4 Analyze discrete time signals in z-domain.</t>
  </si>
  <si>
    <t>C216.5 Perform sampling and reconstruction of a signal.</t>
  </si>
  <si>
    <t>Communication Engineering Lab (BEC451)</t>
  </si>
  <si>
    <t>C217.1 Analyze and compare different analog modulation schemes for their modulation factor and power.</t>
  </si>
  <si>
    <t>C217.3. Analyze different digital modulation schemes and can compute the bit error performance.</t>
  </si>
  <si>
    <t>C217.4. Study and simulate the Phase shift keying.</t>
  </si>
  <si>
    <t>Analog Circuit Lab (BEC452)</t>
  </si>
  <si>
    <t>C218.1. Verify and demonstrate the characteristics of transistors.</t>
  </si>
  <si>
    <t>C218.2. Design and analyze various configurations of amplifier circuits.</t>
  </si>
  <si>
    <t>C218.3. Design sinusoidal and non-sinusoidal oscillators.</t>
  </si>
  <si>
    <t>C218.4. Verify the functioning of OP-AMP and design OP-AMP based circuits.</t>
  </si>
  <si>
    <t>Signal System Lab (BEC453)</t>
  </si>
  <si>
    <t>C219.1. Demonstrate the basics operation of MATLAB.</t>
  </si>
  <si>
    <t>C219.2. Analyse the time domain and frequency domain signals.</t>
  </si>
  <si>
    <t>C219.3. Implement the concept of Fourier series and Fourier transforms.</t>
  </si>
  <si>
    <t>C219.5. Design frequency response of the system.</t>
  </si>
  <si>
    <t>Cyber Security (BCC-401)</t>
  </si>
  <si>
    <t>C220.2Understand the security policies and cyber laws.</t>
  </si>
  <si>
    <t>C220.3Understand the tools and methods used in cyber crime</t>
  </si>
  <si>
    <t>C220.4Understand the concepts of cyber forensics.</t>
  </si>
  <si>
    <t>CO301.1 Students will be able to define and describe the basic of analog IC design and a complete analysis of 741-IC Op-Amp</t>
  </si>
  <si>
    <t xml:space="preserve">CO301.2 Students will be able to apply knowledge about Op-Amp based circuits and basic components of ICs to implement various types of filters. </t>
  </si>
  <si>
    <t xml:space="preserve">CO301.3 Students will be able to apply the concept of Op-Amp based non-linear and wave-shaping circuits. </t>
  </si>
  <si>
    <t xml:space="preserve">CO301.4 Students will be able to design CMOS digital integrated circuits and digital memory circuits. </t>
  </si>
  <si>
    <t>CO301.5 Students will be able to describe the working principle of data converters along with application specific ICs such as 555 timer and PLL.</t>
  </si>
  <si>
    <t>C302.1 Apply a basic concept of digital fundamentals to Microprocessor based personal computer system.</t>
  </si>
  <si>
    <t>C302.2Analyze a detailed software &amp; hardware structure of the Microprocessor.</t>
  </si>
  <si>
    <t xml:space="preserve">C302.3Learn the basics of 8086 Microprocessor and Peripheral Devices like timer, USART etc. </t>
  </si>
  <si>
    <t>C302.4Understand the difference between Microprocessors &amp; Microcontrollers, and details Architecture of 8051 Microcontroller.</t>
  </si>
  <si>
    <t>C302.5Learn the concept of 8051 instruction set and implement them to design projects on real timeproblems.</t>
  </si>
  <si>
    <t>C303.1 Design and describe different types of realizations of digital systems (IIR and FIR) and theirutilities</t>
  </si>
  <si>
    <t>C303.2 Select design parameters of analog IIR digital filters (Butterworth and Chebyshev filters) andimplement various methods such as impulse invariant transformation and bilineartransformation of conversion of analog to digital filters.</t>
  </si>
  <si>
    <t>C303.3 Design FIR filter using various types of window functions.</t>
  </si>
  <si>
    <t>C303.4 Define the principle of discrete Fourier transform &amp; its various properties and concept ofcircular and linear convolution. Also, students will be able to define and implement FFT i.e. afast computation method of DFT.</t>
  </si>
  <si>
    <t>C303.5 Define the concept of decimation and interpolation. Also, they will be able to implement it invarious practical applications.</t>
  </si>
  <si>
    <t>C304.1. Interpret the basics of crystal growth, wafer preparation and wafer cleaning.</t>
  </si>
  <si>
    <t>C304.2. Evaluate the process of Epitaxy and oxidation.</t>
  </si>
  <si>
    <t>C304.3. Differentiate the lithography, etching and deposition process.</t>
  </si>
  <si>
    <t>C304.4. Analyze the process of diffusion and ion implantation.</t>
  </si>
  <si>
    <t>C304.5. Express the basic process involved in metallization and packaging.</t>
  </si>
  <si>
    <t>C305.1 Define and explain the basic concepts and theory of optical communication.</t>
  </si>
  <si>
    <t xml:space="preserve">C305.2 Describe the signal losses with their computation and dispersion mechanism occurring inside the optical fiber cable.   </t>
  </si>
  <si>
    <t>C305.3 Differentiate the optical sources used in optical communication with their comparative study.</t>
  </si>
  <si>
    <t>C305.4 Identify different optical components on receiver side; assemble them to solve real world problems related to optical communication systems.</t>
  </si>
  <si>
    <t>C305.5 Evaluate the performance of an optical receiver to get idea about power budget and ultimately be an engineer with adequate knowledge in optical domain.</t>
  </si>
  <si>
    <t xml:space="preserve">C306.1. Design different non-linear applications of operational amplifiers such as log, antilog amplifiers and voltage comparators amplifiers and voltage comparators. </t>
  </si>
  <si>
    <t>C306.2. Explain and design different linear applications of operational amplifiers such as filters.</t>
  </si>
  <si>
    <t>C306.3. Demonstrate the function of waveforms generator using op-Amp.</t>
  </si>
  <si>
    <t>C306.4. Construct multivibrator and oscillator circuits using IC555 and IC566 and perform measurements of frequency and time.</t>
  </si>
  <si>
    <t>C306.5. Design and practically demonstrate the applications based on IC555 and IC566.</t>
  </si>
  <si>
    <t xml:space="preserve">C307.1. Use techniques, skills, modern engineering tools, instrumentation and software/hardware appropriately to list and demonstrate arithmetic and logical operations on 8 bit data using microprocessor 8085. </t>
  </si>
  <si>
    <t>C307.2. Examine 8085 &amp; 8086 microprocessor and its interfacing with peripheral devices.</t>
  </si>
  <si>
    <t>C307.3. State various conversion techniques using 8085 &amp; 8086 and generate waveforms using 8085.</t>
  </si>
  <si>
    <t>C307.4. Implement programming concept of 8051 Microcontroller.</t>
  </si>
  <si>
    <t>C307.5. Design concepts to Interface peripheral devices with Microcontroller so as to design Microcontroller based projects.</t>
  </si>
  <si>
    <t xml:space="preserve">C308.1. Create and visualize various discrete/digital signals using MATLAB/Scilab. </t>
  </si>
  <si>
    <t>C308.2. Implement and test the basic operations of Signal processing.</t>
  </si>
  <si>
    <t>C308.3. Examine and analyse the spectral parameters of window functions.</t>
  </si>
  <si>
    <t>C308.4. Design IIR and FIR filters for band pass, band stop, low pass and high pass filters.</t>
  </si>
  <si>
    <t>C308.5. Design the signal processing algorithms using MATLAB/Scilab.</t>
  </si>
  <si>
    <t xml:space="preserve">C309.1. Demonstrate the technical aspects of the training module completed. </t>
  </si>
  <si>
    <t>C309.2. Present their work in form of powerpoint presentations.</t>
  </si>
  <si>
    <t>C309.3. Effectively write the learnt simulation and theory principles in form of report.</t>
  </si>
  <si>
    <t>C310.1 Identify and explore the basic features and modalities about Indian constitution.</t>
  </si>
  <si>
    <t>C310. 2 Differentiate and relate the functioning of Indian parliamentary system at the center and state level.</t>
  </si>
  <si>
    <t>C310.3 Differentiate different aspects of Indian Legal System and its related bodies.</t>
  </si>
  <si>
    <t>C310.4 Discover and apply different laws and regulations related to engineering practices.</t>
  </si>
  <si>
    <t>C310.5 Correlate role of engineers with different organizations and governance models.</t>
  </si>
  <si>
    <t xml:space="preserve">C311.1  Students will demonstrate the ability to formulate basic statistics involved in communication theory. </t>
  </si>
  <si>
    <t xml:space="preserve">C311.2  Students will demonstrate the ability to formulate basic statistics involved in communication theory. </t>
  </si>
  <si>
    <t>C311.3  Students will demonstrate the ability to explain the concepts of digital modulation schemes.</t>
  </si>
  <si>
    <t xml:space="preserve">C311.4 Students will demonstrate the ability to analyze the performance of digital communication systems. </t>
  </si>
  <si>
    <t xml:space="preserve">C311.5  Students will demonstrate the ability to apply the concept of information theory in digital systems. </t>
  </si>
  <si>
    <t>C312.1 Describe the basics of control systems along with different types of feedback and its effect. Additionally, they will also be able to explain the techniques such as block diagrams reduction, signal flow graph and modelling of various physical systems along with modelling of DC servomotor.</t>
  </si>
  <si>
    <t>C312.2 Explain the concept of state variables for the representation of LTI system.</t>
  </si>
  <si>
    <t>C312.3 Interpret the time domain response analysis for various types of inputs along with the time domain specifications.</t>
  </si>
  <si>
    <t>C312.4 Distinguish the concepts of absolute and relative stability for continuous data systems along with different methods.</t>
  </si>
  <si>
    <t>C312.5 Interpret the concept of frequency domain response analysis and their specifications.</t>
  </si>
  <si>
    <t>316.1. To formulate basic concepts of pulse shaping in digital communication.</t>
  </si>
  <si>
    <t>316.2. To identify different line coding techniques and demonstrate the concepts.</t>
  </si>
  <si>
    <t>316.3. To design equipments related to digital modulation and demodulation schemes.</t>
  </si>
  <si>
    <t>316.4. To analyze the performance of various digital communication systems and evaluate the key parameters.</t>
  </si>
  <si>
    <t>316.5. To conceptualize error detection &amp; correction using different coding schemes in digital comm.</t>
  </si>
  <si>
    <t>317.1. Classify different tools in MATLAB along with the basic matrix operations used in MATLAb.</t>
  </si>
  <si>
    <t>317.2. Evaluate the poles and zeros on s-plane along with transfer function of a given system.</t>
  </si>
  <si>
    <t>317.3. Construct state space model of a linear continuous system.</t>
  </si>
  <si>
    <t>317.4. Evaluate the various specifications of time domain response of a given system</t>
  </si>
  <si>
    <t>317.5. Appraise the steady state error of a given transfer function.</t>
  </si>
  <si>
    <t>317.6. Examine the relative stability of a given transfer function using various methods such as root locus, Bode plot and Nyquist plot.</t>
  </si>
  <si>
    <t>318.1. Design and analyze the performance of different type of inverters.</t>
  </si>
  <si>
    <t>318.2. Design and analyze the performance of the basic logic gates using CMOS inverter circuit</t>
  </si>
  <si>
    <t>318.3. Design and analyze the performance of the memory based digital circuits using CMOS inverter circuit.</t>
  </si>
  <si>
    <t>318.4. Analyze the performance of the different configuration of MOS amplifier circuits.</t>
  </si>
  <si>
    <t> 319.1 Identify, explore and enhance the ability to understand the basic features of Society State and Polity in India.</t>
  </si>
  <si>
    <t>  319.2 To understand and follow Indian Literature, Culture, Traditions and Practices.</t>
  </si>
  <si>
    <t>  319.3 To understand and explain the basis of Indian Religion, Philosophy and Practices.</t>
  </si>
  <si>
    <t>  319.4 To understand the basics of Science, Management and Indian Knowledge System.</t>
  </si>
  <si>
    <t>  319.5 To connect up with the knowledge of scientific perspective of Indian Cultural Heritage and Performing Arts.</t>
  </si>
  <si>
    <t>KHU-702 Project Management and Entrepreneurship</t>
  </si>
  <si>
    <t>401.1 Students can recognize the definitions and concepts of Entrepreneur and Entrepreneurship.</t>
  </si>
  <si>
    <t>401.2 Students will be able to describe about the entrepreneurial idea and innovation.</t>
  </si>
  <si>
    <t>401.3 Students will be able to explain about the Project management.</t>
  </si>
  <si>
    <t>401.4 Students will be able to describe knowledge about project financing.</t>
  </si>
  <si>
    <t>401.5 Students will be able to describe about social entrepreneurship.</t>
  </si>
  <si>
    <t>KEC-074 Microwave &amp; RADAR Engineering</t>
  </si>
  <si>
    <t>402.1 Analyze various parameters and characteristics of the transmission line and waveguide and also use of wave guide component as per applications.</t>
  </si>
  <si>
    <t>402.2 Describe, analyze and design simple microwave circuits and devices e g couplers, Attenuators, Phase Shifter and Isolators. Student will also understand the microwave propagation in ferrites.</t>
  </si>
  <si>
    <t>402.3 Analyze the difference between the conventional tubes and the microwave tubes for the transmission of the EM waves.</t>
  </si>
  <si>
    <t>402.4 Describe about the handling and measurement of microwave equipment.</t>
  </si>
  <si>
    <t>402.5 Differentiate different Radars, find applications and use of its supporting systems</t>
  </si>
  <si>
    <t>Wireless &amp; Mobile Communication (KEC-076)</t>
  </si>
  <si>
    <t>C403.1 Express the basic knowledge of mobile radio &amp; cellular communication fundamentals and their application to propagation mechanisms, path loss models and multi-path phenomenon.</t>
  </si>
  <si>
    <t xml:space="preserve">                                                                                                                   </t>
  </si>
  <si>
    <t>C403.2 Analyze the performance of various voice coding and diversity techniques.</t>
  </si>
  <si>
    <t>C403.3 Apply the knowledge of wireless transmission basics to understand the concepts of equalization and multiple access techniques.</t>
  </si>
  <si>
    <t>C403.4 Examine the performance of cellular systems being employed such as GSM, CDMA and LTE using various theoretical and mathematical aspects.</t>
  </si>
  <si>
    <t>C403.5 Express basic knowledge of Mobile Adhoc networks and the existing &amp; upcoming data communication networks in wireless and mobile communication domain.</t>
  </si>
  <si>
    <t>Microwave &amp; Radar Engineering Lab Lab KEC-751D</t>
  </si>
  <si>
    <t>C405.1 Describe working on microwave testing bench.</t>
  </si>
  <si>
    <t>C405.2 Practically demonstrate the Characteristics of Reflex klystron using Microwave bench setup.</t>
  </si>
  <si>
    <t>C405.3 Demonstrate the performance of the Gunn diode using Microwave bench setup.</t>
  </si>
  <si>
    <t>C405.4 Perform measurement of Frequency, attenuation, VSWR, Impedance of microwave passive device using Klystron Bench Setup.</t>
  </si>
  <si>
    <t>C405.5 Interpret the basics of Smith chart for solution of transmission line problems and impedance matching.</t>
  </si>
  <si>
    <t>Internship Assessment KEC-752</t>
  </si>
  <si>
    <t>C406.1 Describe the functional details of the work carried during the training.</t>
  </si>
  <si>
    <t>C406.2 Familiarize with the industry environment, ethics and work culture.</t>
  </si>
  <si>
    <t>C406.3 Students will be capable of documenting and presenting the detailed process involved in the designing of the project, starting from the idea behind the project to the future aspects of the project.</t>
  </si>
  <si>
    <t>C406.4 Students will be capable of working in a team and apply critical thinking for solving real life problems concerning society.</t>
  </si>
  <si>
    <t>Project KEC-753</t>
  </si>
  <si>
    <t>C407.1 Design PCB and mount the components over it and solder them.</t>
  </si>
  <si>
    <t>C407.2 Analyze and design various hardware &amp; software modules using the concepts of interfacing.</t>
  </si>
  <si>
    <t>C407.3 Analyze and evaluate software &amp; hardware testing and finally coming up with the demonstration of the designed functional model.</t>
  </si>
  <si>
    <t>C407.4 Documenting and presenting the detailed process involved in the designing of the project, starting from the idea behind the project to the future aspects of the project.</t>
  </si>
  <si>
    <t>C408.5 Working in a team and apply critical thinking for solving real life problems concerning society.</t>
  </si>
  <si>
    <t>Rural Development KHU-801</t>
  </si>
  <si>
    <t>C409.1 State the definitions, concepts and components of rural development.</t>
  </si>
  <si>
    <t xml:space="preserve">C409.2 Describe the importance, structure, significance and resources of Indian rural economy.  </t>
  </si>
  <si>
    <t>C409.3 Explain the area development progrms and its impact.</t>
  </si>
  <si>
    <t xml:space="preserve">C409.4 Demonstrate knowledge about rural entrepreneurship. </t>
  </si>
  <si>
    <t>C409.5 Describe different methods of human resource planning.</t>
  </si>
  <si>
    <t>Project II KEC-851</t>
  </si>
  <si>
    <t>C412.1 Design PCB and mount the components over it and solder them.</t>
  </si>
  <si>
    <t>C412.2 Analyze and design various hardware &amp; software modules using the concepts of interfacing.</t>
  </si>
  <si>
    <t>C412.3 Analyze and evaluate software &amp; hardware testing and finally coming up with the demonstration of the designed functional model.</t>
  </si>
  <si>
    <t>C412.4 Documenting and presenting the detailed process involved in the designing of the project, starting from the idea behind the project to the future aspects of the project.</t>
  </si>
  <si>
    <t>C412.5 Working in a team and apply critical thinking for solving real life problems concerning society.</t>
  </si>
  <si>
    <t>C217.2. Demonstrate pulse amplitude modulation.</t>
  </si>
  <si>
    <t>C217.5. Design a front end BPSK modulator and demodulator.</t>
  </si>
  <si>
    <t>C218.5. Design ADC and DAC.</t>
  </si>
  <si>
    <t>C219.4. Find the stability of system using pole-zero diagrams and bode diagram.</t>
  </si>
  <si>
    <r>
      <t>C205.1</t>
    </r>
    <r>
      <rPr>
        <sz val="10"/>
        <color theme="1"/>
        <rFont val="Times New Roman"/>
        <family val="1"/>
      </rPr>
      <t xml:space="preserve"> Understand basics electrical circuits with nodal and mesh analysis. </t>
    </r>
  </si>
  <si>
    <r>
      <t>C205.2</t>
    </r>
    <r>
      <rPr>
        <sz val="10"/>
        <color theme="1"/>
        <rFont val="Times New Roman"/>
        <family val="1"/>
      </rPr>
      <t xml:space="preserve"> Apply electrical network theorems. </t>
    </r>
  </si>
  <si>
    <r>
      <t>C205.3</t>
    </r>
    <r>
      <rPr>
        <sz val="10"/>
        <color theme="1"/>
        <rFont val="Times New Roman"/>
        <family val="1"/>
      </rPr>
      <t xml:space="preserve"> Apply Laplace transform for steady state and transient behaviour of network circuit. </t>
    </r>
  </si>
  <si>
    <r>
      <t>C205.4</t>
    </r>
    <r>
      <rPr>
        <sz val="10"/>
        <color theme="1"/>
        <rFont val="Times New Roman"/>
        <family val="1"/>
      </rPr>
      <t xml:space="preserve"> Determine different network functions of Two Port network </t>
    </r>
  </si>
  <si>
    <t>C220.1 Understand the basic concepts of cyber security and cybercrimes.</t>
  </si>
  <si>
    <t>C220.5Understand the cyber security policies and cyber laws</t>
  </si>
  <si>
    <r>
      <t>C313.1</t>
    </r>
    <r>
      <rPr>
        <sz val="10"/>
        <color theme="1"/>
        <rFont val="Times New Roman"/>
        <family val="1"/>
      </rPr>
      <t xml:space="preserve">  Student will Identify different coordinate systems and their applications in electromagnetic field theory to establish     a relation between any two systems using the vector calculus.</t>
    </r>
  </si>
  <si>
    <r>
      <t xml:space="preserve">C313.2	 </t>
    </r>
    <r>
      <rPr>
        <sz val="10"/>
        <color theme="1"/>
        <rFont val="Times New Roman"/>
        <family val="1"/>
      </rPr>
      <t>Student will explain the concept of static electric field, current and properties of conductors.</t>
    </r>
    <r>
      <rPr>
        <b/>
        <sz val="10"/>
        <color theme="1"/>
        <rFont val="Times New Roman"/>
        <family val="1"/>
      </rPr>
      <t xml:space="preserve"> </t>
    </r>
    <r>
      <rPr>
        <sz val="10"/>
        <color theme="1"/>
        <rFont val="Times New Roman"/>
        <family val="1"/>
      </rPr>
      <t xml:space="preserve">   </t>
    </r>
  </si>
  <si>
    <r>
      <t>C313.3</t>
    </r>
    <r>
      <rPr>
        <sz val="10"/>
        <color theme="1"/>
        <rFont val="Times New Roman"/>
        <family val="1"/>
      </rPr>
      <t>Students will Demonstrate the knowledge of antenna fundamentals and radiation mechanism of the antenna</t>
    </r>
  </si>
  <si>
    <r>
      <t xml:space="preserve">C313.4 </t>
    </r>
    <r>
      <rPr>
        <sz val="10"/>
        <color theme="1"/>
        <rFont val="Times New Roman"/>
        <family val="1"/>
      </rPr>
      <t>Students will Analyze and design different types of basic antennas</t>
    </r>
  </si>
  <si>
    <r>
      <t xml:space="preserve">C313.5	 </t>
    </r>
    <r>
      <rPr>
        <sz val="10"/>
        <color theme="1"/>
        <rFont val="Times New Roman"/>
        <family val="1"/>
      </rPr>
      <t>Students will Express the basic concepts of ground, space, sky wave propagation mechanism</t>
    </r>
  </si>
  <si>
    <t>Integrated Circuits (BEC-501)</t>
  </si>
  <si>
    <t>Microprocessor &amp; Microcontroller (BEC502)</t>
  </si>
  <si>
    <t>Digital Signal Processing (BEC503)</t>
  </si>
  <si>
    <t>VLSI TECHNOLOGY (BEC-053)</t>
  </si>
  <si>
    <t>INTEGRATED CIRCUITS LAB (BEC-551)</t>
  </si>
  <si>
    <t>MICROPROCESSOR &amp; MICROCONTROLLER LAB (BEC-552)</t>
  </si>
  <si>
    <t>DIGITAL SIGNAL PROCESSING LAB (BEC-553)</t>
  </si>
  <si>
    <t>Mini Project/ Internship (BEC-554)</t>
  </si>
  <si>
    <t>Constitution of India, Law and Engineering (BNC-501)</t>
  </si>
  <si>
    <t>Digital Communication (BEC-601)</t>
  </si>
  <si>
    <t>Control System (BEC-602)</t>
  </si>
  <si>
    <t>Antenna &amp; Wave Propagation (BEC-603)</t>
  </si>
  <si>
    <t>DIGITAL COMMUNICATION LAB (BEC-651)</t>
  </si>
  <si>
    <t>CONTROL SYSTEM  LAB (BEC-652)</t>
  </si>
  <si>
    <t>CAD FOR ELECTRONICS LAB (BEC-653B)</t>
  </si>
  <si>
    <t>314.1. Identify the issues and challenges in the architecture of a network.</t>
  </si>
  <si>
    <t>314.2. Analyze the services and features of various protocol layers in data layer.</t>
  </si>
  <si>
    <t>314.3.Demonstrate the knowledge of multiple access to design a access technique for a particular application.</t>
  </si>
  <si>
    <t>314.4. Realize protocols at different layers of a network hierarchy.</t>
  </si>
  <si>
    <t>314.5. Recognize security issues in a network and various application of application layer.</t>
  </si>
  <si>
    <t>DATA COMM. NETWORKS (BEC-062)</t>
  </si>
  <si>
    <t>Indian Tradition Culture and Society (BNC-602)</t>
  </si>
  <si>
    <t>Optical Communication (BEC-05)</t>
  </si>
  <si>
    <t>Optical Communication (BEC-057)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</si>
</sst>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scheme val="minor"/>
    </font>
    <font>
      <sz val="11"/>
      <color theme="1"/>
      <name val="Calibri"/>
      <family val="2"/>
      <scheme val="minor"/>
    </font>
    <font>
      <b/>
      <sz val="11"/>
      <color theme="1"/>
      <name val="Times New Roman"/>
      <family val="1"/>
    </font>
    <font>
      <b/>
      <sz val="12"/>
      <color theme="1"/>
      <name val="Times New Roman"/>
      <family val="1"/>
    </font>
    <font>
      <sz val="12"/>
      <color theme="1"/>
      <name val="Times New Roman"/>
      <family val="1"/>
    </font>
    <font>
      <sz val="11"/>
      <color theme="1"/>
      <name val="Times New Roman"/>
      <family val="1"/>
    </font>
    <font>
      <b/>
      <sz val="10"/>
      <color theme="1"/>
      <name val="Times New Roman"/>
      <family val="1"/>
    </font>
    <font>
      <sz val="10"/>
      <color theme="1"/>
      <name val="Times New Roman"/>
      <family val="1"/>
    </font>
    <font>
      <b/>
      <sz val="10"/>
      <color theme="1"/>
      <name val="Calibri"/>
      <family val="2"/>
    </font>
    <font>
      <sz val="10"/>
      <color theme="1"/>
      <name val="Calibri"/>
      <family val="2"/>
      <scheme val="minor"/>
    </font>
    <font>
      <sz val="10"/>
      <color theme="1"/>
      <name val="Calibri"/>
      <family val="2"/>
    </font>
    <font>
      <b/>
      <sz val="10"/>
      <color rgb="FF000000"/>
      <name val="Times New Roman"/>
      <family val="1"/>
    </font>
    <font>
      <sz val="10"/>
      <color rgb="FF000000"/>
      <name val="Times New Roman"/>
      <family val="1"/>
    </font>
    <font>
      <b/>
      <sz val="10"/>
      <color rgb="FF231F20"/>
      <name val="Times New Roman"/>
      <family val="1"/>
    </font>
    <font>
      <sz val="10"/>
      <color rgb="FF231F20"/>
      <name val="Times New Roman"/>
      <family val="1"/>
    </font>
    <font>
      <sz val="11"/>
      <color rgb="FF000000"/>
      <name val="Times New Roman"/>
      <family val="1"/>
    </font>
  </fonts>
  <fills count="3">
    <fill>
      <patternFill patternType="none"/>
    </fill>
    <fill>
      <patternFill patternType="gray125"/>
    </fill>
    <fill>
      <patternFill patternType="solid">
        <fgColor theme="0"/>
        <bgColor theme="0"/>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0" fontId="2" fillId="0" borderId="0" xfId="0" applyFont="1" applyAlignment="1">
      <alignment vertical="center" wrapText="1"/>
    </xf>
    <xf numFmtId="0" fontId="7" fillId="0" borderId="0" xfId="0" applyFont="1"/>
    <xf numFmtId="0" fontId="6" fillId="0" borderId="1" xfId="0" applyFont="1" applyBorder="1" applyAlignment="1">
      <alignment vertical="center" wrapText="1"/>
    </xf>
    <xf numFmtId="0" fontId="7" fillId="0" borderId="1" xfId="0" applyFont="1" applyBorder="1" applyAlignment="1">
      <alignment wrapText="1"/>
    </xf>
    <xf numFmtId="0" fontId="7" fillId="0" borderId="1" xfId="0" applyFont="1" applyBorder="1" applyAlignment="1">
      <alignment horizontal="center" wrapText="1"/>
    </xf>
    <xf numFmtId="0" fontId="7" fillId="0" borderId="2" xfId="0" applyFont="1" applyBorder="1" applyAlignment="1">
      <alignment horizontal="center" wrapText="1"/>
    </xf>
    <xf numFmtId="0" fontId="6" fillId="0" borderId="3" xfId="0" applyFont="1" applyBorder="1" applyAlignment="1">
      <alignment vertical="center" wrapText="1"/>
    </xf>
    <xf numFmtId="0" fontId="6" fillId="0" borderId="1" xfId="0" applyFont="1" applyBorder="1" applyAlignment="1">
      <alignment wrapText="1"/>
    </xf>
    <xf numFmtId="0" fontId="7" fillId="0" borderId="1" xfId="0" applyFont="1" applyBorder="1" applyAlignment="1">
      <alignment horizontal="center"/>
    </xf>
    <xf numFmtId="0" fontId="7" fillId="0" borderId="1" xfId="0" applyFont="1" applyBorder="1" applyAlignment="1">
      <alignment horizontal="left" wrapText="1"/>
    </xf>
    <xf numFmtId="0" fontId="7" fillId="0" borderId="1" xfId="0" applyFont="1" applyBorder="1"/>
    <xf numFmtId="0" fontId="6" fillId="0" borderId="1" xfId="0" applyFont="1" applyBorder="1" applyAlignment="1">
      <alignment vertical="top" wrapText="1"/>
    </xf>
    <xf numFmtId="0" fontId="7" fillId="0" borderId="1" xfId="0" applyFont="1" applyBorder="1" applyAlignment="1">
      <alignment vertical="top" wrapText="1"/>
    </xf>
    <xf numFmtId="0" fontId="7" fillId="0" borderId="1" xfId="0" applyFont="1" applyBorder="1" applyAlignment="1">
      <alignment horizontal="center" vertical="top" wrapText="1"/>
    </xf>
    <xf numFmtId="0" fontId="6" fillId="0" borderId="1" xfId="0" applyFont="1" applyBorder="1"/>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7" fillId="0" borderId="1" xfId="0" applyFont="1" applyBorder="1" applyAlignment="1">
      <alignment vertical="top"/>
    </xf>
    <xf numFmtId="0" fontId="6" fillId="0" borderId="4" xfId="0" applyFont="1" applyBorder="1" applyAlignment="1">
      <alignment wrapText="1"/>
    </xf>
    <xf numFmtId="0" fontId="6" fillId="0" borderId="3" xfId="0" applyFont="1" applyBorder="1" applyAlignment="1">
      <alignment wrapText="1"/>
    </xf>
    <xf numFmtId="0" fontId="6" fillId="0" borderId="6" xfId="0" applyFont="1" applyBorder="1" applyAlignment="1">
      <alignment wrapText="1"/>
    </xf>
    <xf numFmtId="0" fontId="6" fillId="0" borderId="6" xfId="0" applyFont="1" applyBorder="1"/>
    <xf numFmtId="0" fontId="0" fillId="0" borderId="0" xfId="0" applyAlignment="1">
      <alignment wrapText="1"/>
    </xf>
    <xf numFmtId="0" fontId="7" fillId="0" borderId="1" xfId="0" applyFont="1" applyBorder="1" applyAlignment="1">
      <alignment horizontal="right"/>
    </xf>
    <xf numFmtId="0" fontId="1" fillId="0" borderId="0" xfId="0" applyFont="1"/>
    <xf numFmtId="0" fontId="9" fillId="0" borderId="0" xfId="0" applyFont="1"/>
    <xf numFmtId="0" fontId="8" fillId="0" borderId="0" xfId="0" applyFont="1" applyAlignment="1">
      <alignment horizontal="center" wrapText="1"/>
    </xf>
    <xf numFmtId="0" fontId="10" fillId="0" borderId="0" xfId="0" applyFont="1" applyAlignment="1">
      <alignment horizontal="center"/>
    </xf>
    <xf numFmtId="0" fontId="8" fillId="0" borderId="0" xfId="0" applyFont="1"/>
    <xf numFmtId="0" fontId="11" fillId="0" borderId="1" xfId="0" applyFont="1" applyBorder="1" applyAlignment="1">
      <alignment vertical="top" wrapText="1"/>
    </xf>
    <xf numFmtId="0" fontId="12" fillId="0" borderId="1" xfId="0" applyFont="1" applyBorder="1" applyAlignment="1">
      <alignment vertical="top" wrapText="1"/>
    </xf>
    <xf numFmtId="0" fontId="13" fillId="0" borderId="1" xfId="0" applyFont="1" applyBorder="1" applyAlignment="1">
      <alignment vertical="top" wrapText="1"/>
    </xf>
    <xf numFmtId="0" fontId="14" fillId="0" borderId="1" xfId="0" applyFont="1" applyBorder="1" applyAlignment="1">
      <alignment vertical="top" wrapText="1"/>
    </xf>
    <xf numFmtId="0" fontId="12" fillId="0" borderId="1" xfId="0" applyFont="1" applyBorder="1" applyAlignment="1">
      <alignment wrapText="1"/>
    </xf>
    <xf numFmtId="12" fontId="12" fillId="0" borderId="1" xfId="0" applyNumberFormat="1" applyFont="1" applyBorder="1" applyAlignment="1">
      <alignment wrapText="1"/>
    </xf>
    <xf numFmtId="2" fontId="7" fillId="0" borderId="1" xfId="0" applyNumberFormat="1" applyFont="1" applyBorder="1" applyAlignment="1">
      <alignment horizontal="center" wrapText="1"/>
    </xf>
    <xf numFmtId="0" fontId="10" fillId="0" borderId="0" xfId="0" applyFont="1"/>
    <xf numFmtId="0" fontId="6" fillId="0" borderId="1" xfId="0" applyFont="1" applyBorder="1" applyAlignment="1">
      <alignment horizontal="left" vertical="center" wrapText="1"/>
    </xf>
    <xf numFmtId="0" fontId="6" fillId="0" borderId="1" xfId="0" applyFont="1" applyBorder="1" applyAlignment="1">
      <alignment horizontal="left" wrapText="1"/>
    </xf>
    <xf numFmtId="0" fontId="12" fillId="0" borderId="1" xfId="0" applyFont="1" applyBorder="1" applyAlignment="1">
      <alignment horizontal="center" wrapText="1"/>
    </xf>
    <xf numFmtId="0" fontId="10" fillId="0" borderId="1" xfId="0" applyFont="1" applyBorder="1" applyAlignment="1">
      <alignment wrapText="1"/>
    </xf>
    <xf numFmtId="0" fontId="9" fillId="0" borderId="0" xfId="0" applyFont="1" applyAlignment="1">
      <alignment wrapText="1"/>
    </xf>
    <xf numFmtId="0" fontId="7" fillId="0" borderId="5" xfId="0" applyFont="1" applyBorder="1" applyAlignment="1">
      <alignment horizontal="center" wrapText="1"/>
    </xf>
    <xf numFmtId="0" fontId="7" fillId="0" borderId="5" xfId="0" applyFont="1" applyBorder="1" applyAlignment="1">
      <alignment horizontal="center" vertical="center" wrapText="1"/>
    </xf>
    <xf numFmtId="0" fontId="7" fillId="0" borderId="2" xfId="0" applyFont="1" applyBorder="1" applyAlignment="1">
      <alignment horizontal="center" vertical="center" wrapText="1"/>
    </xf>
    <xf numFmtId="0" fontId="11" fillId="0" borderId="1" xfId="0" applyFont="1" applyBorder="1" applyAlignment="1">
      <alignment vertical="center" wrapText="1"/>
    </xf>
    <xf numFmtId="0" fontId="7" fillId="0" borderId="5" xfId="0" applyFont="1" applyBorder="1" applyAlignment="1">
      <alignment wrapText="1"/>
    </xf>
    <xf numFmtId="0" fontId="7" fillId="0" borderId="5" xfId="0" applyFont="1" applyBorder="1" applyAlignment="1">
      <alignment vertical="center" wrapText="1"/>
    </xf>
    <xf numFmtId="0" fontId="12" fillId="2" borderId="1" xfId="0" applyFont="1" applyFill="1" applyBorder="1" applyAlignment="1">
      <alignment horizontal="center" vertical="top" wrapText="1"/>
    </xf>
    <xf numFmtId="0" fontId="7" fillId="2" borderId="1" xfId="0" applyFont="1" applyFill="1" applyBorder="1" applyAlignment="1">
      <alignment horizontal="center" wrapText="1"/>
    </xf>
    <xf numFmtId="0" fontId="7" fillId="0" borderId="1" xfId="0" applyFont="1" applyBorder="1" applyAlignment="1">
      <alignment horizontal="left" vertical="top" wrapText="1"/>
    </xf>
    <xf numFmtId="0" fontId="5" fillId="0" borderId="0" xfId="0" applyFont="1" applyAlignment="1">
      <alignment horizontal="center" wrapText="1"/>
    </xf>
    <xf numFmtId="0" fontId="7" fillId="0" borderId="4" xfId="0" applyFont="1" applyBorder="1" applyAlignment="1">
      <alignment horizontal="center" wrapText="1"/>
    </xf>
    <xf numFmtId="0" fontId="7" fillId="0" borderId="3" xfId="0" applyFont="1" applyBorder="1" applyAlignment="1">
      <alignment horizontal="center" wrapText="1"/>
    </xf>
    <xf numFmtId="0" fontId="12" fillId="0" borderId="5" xfId="0" applyFont="1" applyBorder="1" applyAlignment="1">
      <alignment vertical="top" wrapText="1"/>
    </xf>
    <xf numFmtId="0" fontId="7" fillId="0" borderId="4" xfId="0" applyFont="1" applyBorder="1" applyAlignment="1">
      <alignment wrapText="1"/>
    </xf>
    <xf numFmtId="0" fontId="15" fillId="0" borderId="6" xfId="0" applyFont="1" applyBorder="1" applyAlignment="1">
      <alignment horizontal="center" vertical="center" wrapText="1"/>
    </xf>
    <xf numFmtId="0" fontId="8" fillId="0" borderId="0" xfId="0" applyFont="1" applyAlignment="1">
      <alignment horizontal="center"/>
    </xf>
    <xf numFmtId="0" fontId="9" fillId="0" borderId="0" xfId="0" applyFont="1"/>
    <xf numFmtId="0" fontId="3" fillId="0" borderId="0" xfId="0" applyFont="1" applyAlignment="1">
      <alignment horizontal="center"/>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000"/>
  <sheetViews>
    <sheetView view="pageBreakPreview" topLeftCell="A101" zoomScaleNormal="100" zoomScaleSheetLayoutView="100" workbookViewId="0">
      <selection activeCell="X60" sqref="X60"/>
    </sheetView>
  </sheetViews>
  <sheetFormatPr defaultColWidth="14.453125" defaultRowHeight="15" customHeight="1" x14ac:dyDescent="0.35"/>
  <cols>
    <col min="1" max="1" width="70.81640625" customWidth="1"/>
    <col min="2" max="15" width="6.26953125" customWidth="1"/>
    <col min="16" max="26" width="8.7265625" customWidth="1"/>
  </cols>
  <sheetData>
    <row r="1" spans="1:15" ht="15.5" x14ac:dyDescent="0.35">
      <c r="A1" s="60" t="s">
        <v>0</v>
      </c>
      <c r="B1" s="61"/>
      <c r="C1" s="61"/>
      <c r="D1" s="61"/>
      <c r="E1" s="61"/>
      <c r="F1" s="61"/>
      <c r="G1" s="61"/>
      <c r="H1" s="61"/>
      <c r="I1" s="61"/>
      <c r="J1" s="61"/>
      <c r="K1" s="61"/>
      <c r="L1" s="61"/>
      <c r="M1" s="61"/>
      <c r="N1" s="61"/>
      <c r="O1" s="61"/>
    </row>
    <row r="2" spans="1:15" ht="14.5" x14ac:dyDescent="0.35">
      <c r="A2" s="2"/>
      <c r="B2" s="2"/>
      <c r="C2" s="2"/>
      <c r="D2" s="2"/>
      <c r="E2" s="2"/>
      <c r="F2" s="2"/>
      <c r="G2" s="2"/>
      <c r="H2" s="2"/>
      <c r="I2" s="2"/>
      <c r="J2" s="2"/>
      <c r="K2" s="2"/>
      <c r="L2" s="2"/>
      <c r="M2" s="2"/>
      <c r="N2" s="2"/>
      <c r="O2" s="2"/>
    </row>
    <row r="3" spans="1:15" ht="14.5" x14ac:dyDescent="0.35">
      <c r="A3" s="3" t="s">
        <v>1</v>
      </c>
      <c r="B3" s="9" t="s">
        <v>2</v>
      </c>
      <c r="C3" s="9" t="s">
        <v>3</v>
      </c>
      <c r="D3" s="9" t="s">
        <v>4</v>
      </c>
      <c r="E3" s="9" t="s">
        <v>5</v>
      </c>
      <c r="F3" s="9" t="s">
        <v>6</v>
      </c>
      <c r="G3" s="9" t="s">
        <v>7</v>
      </c>
      <c r="H3" s="9" t="s">
        <v>8</v>
      </c>
      <c r="I3" s="9" t="s">
        <v>9</v>
      </c>
      <c r="J3" s="9" t="s">
        <v>10</v>
      </c>
      <c r="K3" s="9" t="s">
        <v>11</v>
      </c>
      <c r="L3" s="9" t="s">
        <v>12</v>
      </c>
      <c r="M3" s="9" t="s">
        <v>13</v>
      </c>
      <c r="N3" s="9" t="s">
        <v>14</v>
      </c>
      <c r="O3" s="9" t="s">
        <v>15</v>
      </c>
    </row>
    <row r="4" spans="1:15" ht="14.5" x14ac:dyDescent="0.35">
      <c r="A4" s="4" t="s">
        <v>16</v>
      </c>
      <c r="B4" s="5">
        <v>3</v>
      </c>
      <c r="C4" s="5">
        <v>3</v>
      </c>
      <c r="D4" s="5">
        <v>2</v>
      </c>
      <c r="E4" s="5">
        <v>3</v>
      </c>
      <c r="F4" s="5">
        <v>3</v>
      </c>
      <c r="G4" s="5"/>
      <c r="H4" s="5"/>
      <c r="I4" s="5"/>
      <c r="J4" s="5"/>
      <c r="K4" s="5"/>
      <c r="L4" s="5"/>
      <c r="M4" s="5">
        <v>3</v>
      </c>
      <c r="N4" s="5">
        <v>3</v>
      </c>
      <c r="O4" s="5">
        <v>2</v>
      </c>
    </row>
    <row r="5" spans="1:15" ht="14.5" x14ac:dyDescent="0.35">
      <c r="A5" s="4" t="s">
        <v>17</v>
      </c>
      <c r="B5" s="5">
        <v>3</v>
      </c>
      <c r="C5" s="5">
        <v>3</v>
      </c>
      <c r="D5" s="5">
        <v>2</v>
      </c>
      <c r="E5" s="5">
        <v>3</v>
      </c>
      <c r="F5" s="5">
        <v>3</v>
      </c>
      <c r="G5" s="5"/>
      <c r="H5" s="5"/>
      <c r="I5" s="5"/>
      <c r="J5" s="5"/>
      <c r="K5" s="5"/>
      <c r="L5" s="5"/>
      <c r="M5" s="5">
        <v>3</v>
      </c>
      <c r="N5" s="5">
        <v>3</v>
      </c>
      <c r="O5" s="5">
        <v>2</v>
      </c>
    </row>
    <row r="6" spans="1:15" ht="14.5" x14ac:dyDescent="0.35">
      <c r="A6" s="4" t="s">
        <v>18</v>
      </c>
      <c r="B6" s="5">
        <v>3</v>
      </c>
      <c r="C6" s="5">
        <v>3</v>
      </c>
      <c r="D6" s="5">
        <v>2</v>
      </c>
      <c r="E6" s="5">
        <v>3</v>
      </c>
      <c r="F6" s="5">
        <v>3</v>
      </c>
      <c r="G6" s="5"/>
      <c r="H6" s="5"/>
      <c r="I6" s="5"/>
      <c r="J6" s="5"/>
      <c r="K6" s="5"/>
      <c r="L6" s="5"/>
      <c r="M6" s="5">
        <v>3</v>
      </c>
      <c r="N6" s="5">
        <v>3</v>
      </c>
      <c r="O6" s="5">
        <v>2</v>
      </c>
    </row>
    <row r="7" spans="1:15" ht="14.5" x14ac:dyDescent="0.35">
      <c r="A7" s="4" t="s">
        <v>19</v>
      </c>
      <c r="B7" s="5">
        <v>3</v>
      </c>
      <c r="C7" s="5">
        <v>3</v>
      </c>
      <c r="D7" s="5">
        <v>2</v>
      </c>
      <c r="E7" s="5">
        <v>3</v>
      </c>
      <c r="F7" s="5">
        <v>3</v>
      </c>
      <c r="G7" s="5"/>
      <c r="H7" s="5"/>
      <c r="I7" s="5"/>
      <c r="J7" s="5"/>
      <c r="K7" s="5"/>
      <c r="L7" s="5"/>
      <c r="M7" s="5">
        <v>3</v>
      </c>
      <c r="N7" s="5">
        <v>3</v>
      </c>
      <c r="O7" s="5">
        <v>2</v>
      </c>
    </row>
    <row r="8" spans="1:15" ht="26.5" x14ac:dyDescent="0.35">
      <c r="A8" s="4" t="s">
        <v>20</v>
      </c>
      <c r="B8" s="5">
        <v>3</v>
      </c>
      <c r="C8" s="5">
        <v>3</v>
      </c>
      <c r="D8" s="5">
        <v>2</v>
      </c>
      <c r="E8" s="5">
        <v>3</v>
      </c>
      <c r="F8" s="5">
        <v>3</v>
      </c>
      <c r="G8" s="5"/>
      <c r="H8" s="5"/>
      <c r="I8" s="5"/>
      <c r="J8" s="5"/>
      <c r="K8" s="5"/>
      <c r="L8" s="5"/>
      <c r="M8" s="5">
        <v>3</v>
      </c>
      <c r="N8" s="5">
        <v>3</v>
      </c>
      <c r="O8" s="5">
        <v>2</v>
      </c>
    </row>
    <row r="9" spans="1:15" ht="14.5" x14ac:dyDescent="0.35">
      <c r="A9" s="3" t="s">
        <v>1</v>
      </c>
      <c r="B9" s="9">
        <f t="shared" ref="B9:F9" si="0">AVERAGE(B4:B8)</f>
        <v>3</v>
      </c>
      <c r="C9" s="9">
        <f t="shared" si="0"/>
        <v>3</v>
      </c>
      <c r="D9" s="9">
        <f t="shared" si="0"/>
        <v>2</v>
      </c>
      <c r="E9" s="9">
        <f t="shared" si="0"/>
        <v>3</v>
      </c>
      <c r="F9" s="9">
        <f t="shared" si="0"/>
        <v>3</v>
      </c>
      <c r="G9" s="9"/>
      <c r="H9" s="9"/>
      <c r="I9" s="9"/>
      <c r="J9" s="9"/>
      <c r="K9" s="9"/>
      <c r="L9" s="9"/>
      <c r="M9" s="9">
        <f t="shared" ref="M9:O9" si="1">AVERAGE(M4:M8)</f>
        <v>3</v>
      </c>
      <c r="N9" s="9">
        <f t="shared" si="1"/>
        <v>3</v>
      </c>
      <c r="O9" s="9">
        <f t="shared" si="1"/>
        <v>2</v>
      </c>
    </row>
    <row r="10" spans="1:15" ht="14.5" x14ac:dyDescent="0.35">
      <c r="A10" s="3" t="s">
        <v>21</v>
      </c>
      <c r="B10" s="9" t="s">
        <v>2</v>
      </c>
      <c r="C10" s="9" t="s">
        <v>3</v>
      </c>
      <c r="D10" s="9" t="s">
        <v>4</v>
      </c>
      <c r="E10" s="9" t="s">
        <v>5</v>
      </c>
      <c r="F10" s="9" t="s">
        <v>6</v>
      </c>
      <c r="G10" s="9" t="s">
        <v>7</v>
      </c>
      <c r="H10" s="9" t="s">
        <v>8</v>
      </c>
      <c r="I10" s="9" t="s">
        <v>9</v>
      </c>
      <c r="J10" s="9" t="s">
        <v>10</v>
      </c>
      <c r="K10" s="9" t="s">
        <v>11</v>
      </c>
      <c r="L10" s="9" t="s">
        <v>12</v>
      </c>
      <c r="M10" s="9" t="s">
        <v>13</v>
      </c>
      <c r="N10" s="9" t="s">
        <v>14</v>
      </c>
      <c r="O10" s="9" t="s">
        <v>15</v>
      </c>
    </row>
    <row r="11" spans="1:15" ht="52.5" x14ac:dyDescent="0.35">
      <c r="A11" s="4" t="s">
        <v>22</v>
      </c>
      <c r="B11" s="6"/>
      <c r="C11" s="5"/>
      <c r="D11" s="5"/>
      <c r="E11" s="5"/>
      <c r="F11" s="5"/>
      <c r="G11" s="5">
        <v>3</v>
      </c>
      <c r="H11" s="5">
        <v>2</v>
      </c>
      <c r="I11" s="5">
        <v>2</v>
      </c>
      <c r="J11" s="5">
        <v>3</v>
      </c>
      <c r="K11" s="5"/>
      <c r="L11" s="5"/>
      <c r="M11" s="5">
        <v>3</v>
      </c>
      <c r="N11" s="5"/>
      <c r="O11" s="5"/>
    </row>
    <row r="12" spans="1:15" ht="26.5" x14ac:dyDescent="0.35">
      <c r="A12" s="4" t="s">
        <v>23</v>
      </c>
      <c r="B12" s="6"/>
      <c r="C12" s="5"/>
      <c r="D12" s="5"/>
      <c r="E12" s="5"/>
      <c r="F12" s="5"/>
      <c r="G12" s="5">
        <v>3</v>
      </c>
      <c r="H12" s="5">
        <v>2</v>
      </c>
      <c r="I12" s="5">
        <v>2</v>
      </c>
      <c r="J12" s="5">
        <v>3</v>
      </c>
      <c r="K12" s="5"/>
      <c r="L12" s="5"/>
      <c r="M12" s="5">
        <v>3</v>
      </c>
      <c r="N12" s="5"/>
      <c r="O12" s="5"/>
    </row>
    <row r="13" spans="1:15" ht="39.5" x14ac:dyDescent="0.35">
      <c r="A13" s="4" t="s">
        <v>24</v>
      </c>
      <c r="B13" s="6"/>
      <c r="C13" s="5"/>
      <c r="D13" s="5"/>
      <c r="E13" s="5"/>
      <c r="F13" s="5"/>
      <c r="G13" s="5">
        <v>3</v>
      </c>
      <c r="H13" s="5">
        <v>2</v>
      </c>
      <c r="I13" s="5">
        <v>2</v>
      </c>
      <c r="J13" s="5">
        <v>3</v>
      </c>
      <c r="K13" s="5"/>
      <c r="L13" s="5"/>
      <c r="M13" s="5">
        <v>3</v>
      </c>
      <c r="N13" s="5"/>
      <c r="O13" s="5"/>
    </row>
    <row r="14" spans="1:15" ht="26.5" x14ac:dyDescent="0.35">
      <c r="A14" s="4" t="s">
        <v>25</v>
      </c>
      <c r="B14" s="6"/>
      <c r="C14" s="5"/>
      <c r="D14" s="5"/>
      <c r="E14" s="5"/>
      <c r="F14" s="5"/>
      <c r="G14" s="5">
        <v>3</v>
      </c>
      <c r="H14" s="5">
        <v>3</v>
      </c>
      <c r="I14" s="5">
        <v>2</v>
      </c>
      <c r="J14" s="5">
        <v>3</v>
      </c>
      <c r="K14" s="5"/>
      <c r="L14" s="5"/>
      <c r="M14" s="5">
        <v>3</v>
      </c>
      <c r="N14" s="5"/>
      <c r="O14" s="5"/>
    </row>
    <row r="15" spans="1:15" ht="26.5" x14ac:dyDescent="0.35">
      <c r="A15" s="4" t="s">
        <v>26</v>
      </c>
      <c r="B15" s="6"/>
      <c r="C15" s="5"/>
      <c r="D15" s="5"/>
      <c r="E15" s="5"/>
      <c r="F15" s="5"/>
      <c r="G15" s="5">
        <v>3</v>
      </c>
      <c r="H15" s="5">
        <v>3</v>
      </c>
      <c r="I15" s="5">
        <v>3</v>
      </c>
      <c r="J15" s="5">
        <v>3</v>
      </c>
      <c r="K15" s="5"/>
      <c r="L15" s="5"/>
      <c r="M15" s="5">
        <v>3</v>
      </c>
      <c r="N15" s="5"/>
      <c r="O15" s="5"/>
    </row>
    <row r="16" spans="1:15" ht="14.5" x14ac:dyDescent="0.35">
      <c r="A16" s="7" t="s">
        <v>21</v>
      </c>
      <c r="B16" s="9"/>
      <c r="C16" s="9"/>
      <c r="D16" s="9"/>
      <c r="E16" s="9"/>
      <c r="F16" s="9"/>
      <c r="G16" s="9">
        <f t="shared" ref="G16:J16" si="2">AVERAGE(G11:G15)</f>
        <v>3</v>
      </c>
      <c r="H16" s="9">
        <f t="shared" si="2"/>
        <v>2.4</v>
      </c>
      <c r="I16" s="9">
        <f t="shared" si="2"/>
        <v>2.2000000000000002</v>
      </c>
      <c r="J16" s="9">
        <f t="shared" si="2"/>
        <v>3</v>
      </c>
      <c r="K16" s="9"/>
      <c r="L16" s="9"/>
      <c r="M16" s="9">
        <f>AVERAGE(M11:M15)</f>
        <v>3</v>
      </c>
      <c r="N16" s="9"/>
      <c r="O16" s="9"/>
    </row>
    <row r="17" spans="1:15" ht="14.5" x14ac:dyDescent="0.35">
      <c r="A17" s="3" t="s">
        <v>27</v>
      </c>
      <c r="B17" s="9" t="s">
        <v>2</v>
      </c>
      <c r="C17" s="9" t="s">
        <v>3</v>
      </c>
      <c r="D17" s="9" t="s">
        <v>4</v>
      </c>
      <c r="E17" s="9" t="s">
        <v>5</v>
      </c>
      <c r="F17" s="9" t="s">
        <v>6</v>
      </c>
      <c r="G17" s="9" t="s">
        <v>7</v>
      </c>
      <c r="H17" s="9" t="s">
        <v>8</v>
      </c>
      <c r="I17" s="9" t="s">
        <v>9</v>
      </c>
      <c r="J17" s="9" t="s">
        <v>10</v>
      </c>
      <c r="K17" s="9" t="s">
        <v>11</v>
      </c>
      <c r="L17" s="9" t="s">
        <v>12</v>
      </c>
      <c r="M17" s="9" t="s">
        <v>13</v>
      </c>
      <c r="N17" s="9" t="s">
        <v>14</v>
      </c>
      <c r="O17" s="9" t="s">
        <v>15</v>
      </c>
    </row>
    <row r="18" spans="1:15" ht="14.5" x14ac:dyDescent="0.35">
      <c r="A18" s="4" t="s">
        <v>28</v>
      </c>
      <c r="B18" s="9">
        <v>1</v>
      </c>
      <c r="C18" s="9">
        <v>1</v>
      </c>
      <c r="D18" s="9">
        <v>1</v>
      </c>
      <c r="E18" s="9">
        <v>1</v>
      </c>
      <c r="F18" s="9">
        <v>1</v>
      </c>
      <c r="G18" s="9"/>
      <c r="H18" s="9"/>
      <c r="I18" s="9"/>
      <c r="J18" s="9"/>
      <c r="K18" s="9"/>
      <c r="L18" s="9"/>
      <c r="M18" s="9">
        <v>3</v>
      </c>
      <c r="N18" s="9">
        <v>1</v>
      </c>
      <c r="O18" s="9">
        <v>1</v>
      </c>
    </row>
    <row r="19" spans="1:15" ht="14.5" x14ac:dyDescent="0.35">
      <c r="A19" s="4" t="s">
        <v>29</v>
      </c>
      <c r="B19" s="9">
        <v>3</v>
      </c>
      <c r="C19" s="9">
        <v>3</v>
      </c>
      <c r="D19" s="9">
        <v>2</v>
      </c>
      <c r="E19" s="9">
        <v>3</v>
      </c>
      <c r="F19" s="9">
        <v>3</v>
      </c>
      <c r="G19" s="9"/>
      <c r="H19" s="9"/>
      <c r="I19" s="9"/>
      <c r="J19" s="9"/>
      <c r="K19" s="9"/>
      <c r="L19" s="9"/>
      <c r="M19" s="9">
        <v>3</v>
      </c>
      <c r="N19" s="9">
        <v>2</v>
      </c>
      <c r="O19" s="9">
        <v>3</v>
      </c>
    </row>
    <row r="20" spans="1:15" ht="14.5" x14ac:dyDescent="0.35">
      <c r="A20" s="4" t="s">
        <v>30</v>
      </c>
      <c r="B20" s="9">
        <v>3</v>
      </c>
      <c r="C20" s="9">
        <v>3</v>
      </c>
      <c r="D20" s="9">
        <v>2</v>
      </c>
      <c r="E20" s="9">
        <v>3</v>
      </c>
      <c r="F20" s="9">
        <v>3</v>
      </c>
      <c r="G20" s="9"/>
      <c r="H20" s="9"/>
      <c r="I20" s="9"/>
      <c r="J20" s="9"/>
      <c r="K20" s="9"/>
      <c r="L20" s="9"/>
      <c r="M20" s="9">
        <v>3</v>
      </c>
      <c r="N20" s="9">
        <v>2</v>
      </c>
      <c r="O20" s="9">
        <v>3</v>
      </c>
    </row>
    <row r="21" spans="1:15" ht="26" x14ac:dyDescent="0.35">
      <c r="A21" s="13" t="s">
        <v>31</v>
      </c>
      <c r="B21" s="9">
        <v>1</v>
      </c>
      <c r="C21" s="9">
        <v>1</v>
      </c>
      <c r="D21" s="9">
        <v>1</v>
      </c>
      <c r="E21" s="9">
        <v>1</v>
      </c>
      <c r="F21" s="9">
        <v>1</v>
      </c>
      <c r="G21" s="9"/>
      <c r="H21" s="9"/>
      <c r="I21" s="9"/>
      <c r="J21" s="9"/>
      <c r="K21" s="9"/>
      <c r="L21" s="9"/>
      <c r="M21" s="9">
        <v>3</v>
      </c>
      <c r="N21" s="9">
        <v>1</v>
      </c>
      <c r="O21" s="9">
        <v>1</v>
      </c>
    </row>
    <row r="22" spans="1:15" ht="14.5" x14ac:dyDescent="0.35">
      <c r="A22" s="4" t="s">
        <v>32</v>
      </c>
      <c r="B22" s="9">
        <v>3</v>
      </c>
      <c r="C22" s="9">
        <v>3</v>
      </c>
      <c r="D22" s="9">
        <v>3</v>
      </c>
      <c r="E22" s="9">
        <v>3</v>
      </c>
      <c r="F22" s="9">
        <v>3</v>
      </c>
      <c r="G22" s="9"/>
      <c r="H22" s="9"/>
      <c r="I22" s="9"/>
      <c r="J22" s="9"/>
      <c r="K22" s="9"/>
      <c r="L22" s="9"/>
      <c r="M22" s="9">
        <v>3</v>
      </c>
      <c r="N22" s="9">
        <v>2</v>
      </c>
      <c r="O22" s="9">
        <v>3</v>
      </c>
    </row>
    <row r="23" spans="1:15" ht="14.5" x14ac:dyDescent="0.35">
      <c r="A23" s="3" t="s">
        <v>33</v>
      </c>
      <c r="B23" s="9">
        <f t="shared" ref="B23:F23" si="3">AVERAGE(B18:B22)</f>
        <v>2.2000000000000002</v>
      </c>
      <c r="C23" s="9">
        <f t="shared" si="3"/>
        <v>2.2000000000000002</v>
      </c>
      <c r="D23" s="9">
        <f t="shared" si="3"/>
        <v>1.8</v>
      </c>
      <c r="E23" s="9">
        <f t="shared" si="3"/>
        <v>2.2000000000000002</v>
      </c>
      <c r="F23" s="9">
        <f t="shared" si="3"/>
        <v>2.2000000000000002</v>
      </c>
      <c r="G23" s="9"/>
      <c r="H23" s="9"/>
      <c r="I23" s="9"/>
      <c r="J23" s="9"/>
      <c r="K23" s="9"/>
      <c r="L23" s="9"/>
      <c r="M23" s="9">
        <f t="shared" ref="M23:O23" si="4">AVERAGE(M18:M22)</f>
        <v>3</v>
      </c>
      <c r="N23" s="9">
        <f t="shared" si="4"/>
        <v>1.6</v>
      </c>
      <c r="O23" s="9">
        <f t="shared" si="4"/>
        <v>2.2000000000000002</v>
      </c>
    </row>
    <row r="24" spans="1:15" ht="14.5" x14ac:dyDescent="0.35">
      <c r="A24" s="3" t="s">
        <v>34</v>
      </c>
      <c r="B24" s="9" t="s">
        <v>2</v>
      </c>
      <c r="C24" s="9" t="s">
        <v>3</v>
      </c>
      <c r="D24" s="9" t="s">
        <v>4</v>
      </c>
      <c r="E24" s="9" t="s">
        <v>5</v>
      </c>
      <c r="F24" s="9" t="s">
        <v>6</v>
      </c>
      <c r="G24" s="9" t="s">
        <v>7</v>
      </c>
      <c r="H24" s="9" t="s">
        <v>8</v>
      </c>
      <c r="I24" s="9" t="s">
        <v>9</v>
      </c>
      <c r="J24" s="9" t="s">
        <v>10</v>
      </c>
      <c r="K24" s="9" t="s">
        <v>11</v>
      </c>
      <c r="L24" s="9" t="s">
        <v>12</v>
      </c>
      <c r="M24" s="9" t="s">
        <v>13</v>
      </c>
      <c r="N24" s="9" t="s">
        <v>14</v>
      </c>
      <c r="O24" s="9" t="s">
        <v>15</v>
      </c>
    </row>
    <row r="25" spans="1:15" ht="14.5" x14ac:dyDescent="0.35">
      <c r="A25" s="10" t="s">
        <v>35</v>
      </c>
      <c r="B25" s="9">
        <v>3</v>
      </c>
      <c r="C25" s="9">
        <v>3</v>
      </c>
      <c r="D25" s="9">
        <v>2</v>
      </c>
      <c r="E25" s="9">
        <v>3</v>
      </c>
      <c r="F25" s="9">
        <v>3</v>
      </c>
      <c r="G25" s="9"/>
      <c r="H25" s="9"/>
      <c r="I25" s="9"/>
      <c r="J25" s="9"/>
      <c r="K25" s="9"/>
      <c r="L25" s="9"/>
      <c r="M25" s="9">
        <v>3</v>
      </c>
      <c r="N25" s="9">
        <v>3</v>
      </c>
      <c r="O25" s="9">
        <v>2</v>
      </c>
    </row>
    <row r="26" spans="1:15" ht="26.5" x14ac:dyDescent="0.35">
      <c r="A26" s="10" t="s">
        <v>36</v>
      </c>
      <c r="B26" s="9">
        <v>3</v>
      </c>
      <c r="C26" s="9">
        <v>3</v>
      </c>
      <c r="D26" s="9">
        <v>3</v>
      </c>
      <c r="E26" s="9">
        <v>3</v>
      </c>
      <c r="F26" s="9">
        <v>3</v>
      </c>
      <c r="G26" s="9"/>
      <c r="H26" s="9"/>
      <c r="I26" s="9"/>
      <c r="J26" s="9"/>
      <c r="K26" s="9"/>
      <c r="L26" s="9"/>
      <c r="M26" s="9">
        <v>3</v>
      </c>
      <c r="N26" s="9">
        <v>3</v>
      </c>
      <c r="O26" s="9">
        <v>3</v>
      </c>
    </row>
    <row r="27" spans="1:15" ht="14.5" x14ac:dyDescent="0.35">
      <c r="A27" s="10" t="s">
        <v>37</v>
      </c>
      <c r="B27" s="9">
        <v>3</v>
      </c>
      <c r="C27" s="9">
        <v>3</v>
      </c>
      <c r="D27" s="9">
        <v>3</v>
      </c>
      <c r="E27" s="9">
        <v>3</v>
      </c>
      <c r="F27" s="9">
        <v>3</v>
      </c>
      <c r="G27" s="9"/>
      <c r="H27" s="9"/>
      <c r="I27" s="9"/>
      <c r="J27" s="9"/>
      <c r="K27" s="9"/>
      <c r="L27" s="9"/>
      <c r="M27" s="9">
        <v>3</v>
      </c>
      <c r="N27" s="9">
        <v>3</v>
      </c>
      <c r="O27" s="9">
        <v>3</v>
      </c>
    </row>
    <row r="28" spans="1:15" ht="14.5" x14ac:dyDescent="0.35">
      <c r="A28" s="10" t="s">
        <v>38</v>
      </c>
      <c r="B28" s="9">
        <v>3</v>
      </c>
      <c r="C28" s="9">
        <v>3</v>
      </c>
      <c r="D28" s="9">
        <v>3</v>
      </c>
      <c r="E28" s="9">
        <v>3</v>
      </c>
      <c r="F28" s="9">
        <v>3</v>
      </c>
      <c r="G28" s="9"/>
      <c r="H28" s="9"/>
      <c r="I28" s="9"/>
      <c r="J28" s="9"/>
      <c r="K28" s="9"/>
      <c r="L28" s="9"/>
      <c r="M28" s="9">
        <v>3</v>
      </c>
      <c r="N28" s="9">
        <v>3</v>
      </c>
      <c r="O28" s="9">
        <v>3</v>
      </c>
    </row>
    <row r="29" spans="1:15" ht="14.5" x14ac:dyDescent="0.35">
      <c r="A29" s="10" t="s">
        <v>39</v>
      </c>
      <c r="B29" s="9">
        <v>3</v>
      </c>
      <c r="C29" s="9">
        <v>3</v>
      </c>
      <c r="D29" s="9">
        <v>3</v>
      </c>
      <c r="E29" s="9">
        <v>3</v>
      </c>
      <c r="F29" s="9">
        <v>3</v>
      </c>
      <c r="G29" s="9"/>
      <c r="H29" s="9"/>
      <c r="I29" s="9"/>
      <c r="J29" s="9"/>
      <c r="K29" s="9"/>
      <c r="L29" s="9"/>
      <c r="M29" s="9">
        <v>3</v>
      </c>
      <c r="N29" s="9">
        <v>3</v>
      </c>
      <c r="O29" s="9">
        <v>3</v>
      </c>
    </row>
    <row r="30" spans="1:15" ht="14.5" x14ac:dyDescent="0.35">
      <c r="A30" s="3" t="s">
        <v>34</v>
      </c>
      <c r="B30" s="9">
        <f t="shared" ref="B30:F30" si="5">AVERAGE(B25:B29)</f>
        <v>3</v>
      </c>
      <c r="C30" s="9">
        <f t="shared" si="5"/>
        <v>3</v>
      </c>
      <c r="D30" s="9">
        <f t="shared" si="5"/>
        <v>2.8</v>
      </c>
      <c r="E30" s="9">
        <f t="shared" si="5"/>
        <v>3</v>
      </c>
      <c r="F30" s="9">
        <f t="shared" si="5"/>
        <v>3</v>
      </c>
      <c r="G30" s="9"/>
      <c r="H30" s="9"/>
      <c r="I30" s="9"/>
      <c r="J30" s="9"/>
      <c r="K30" s="9"/>
      <c r="L30" s="9"/>
      <c r="M30" s="9">
        <f t="shared" ref="M30:O30" si="6">AVERAGE(M25:M29)</f>
        <v>3</v>
      </c>
      <c r="N30" s="9">
        <f t="shared" si="6"/>
        <v>3</v>
      </c>
      <c r="O30" s="9">
        <f t="shared" si="6"/>
        <v>2.8</v>
      </c>
    </row>
    <row r="31" spans="1:15" ht="14.5" x14ac:dyDescent="0.35">
      <c r="A31" s="19" t="s">
        <v>40</v>
      </c>
      <c r="B31" s="9" t="s">
        <v>2</v>
      </c>
      <c r="C31" s="9" t="s">
        <v>3</v>
      </c>
      <c r="D31" s="9" t="s">
        <v>4</v>
      </c>
      <c r="E31" s="9" t="s">
        <v>5</v>
      </c>
      <c r="F31" s="9" t="s">
        <v>6</v>
      </c>
      <c r="G31" s="9" t="s">
        <v>7</v>
      </c>
      <c r="H31" s="9" t="s">
        <v>8</v>
      </c>
      <c r="I31" s="9" t="s">
        <v>9</v>
      </c>
      <c r="J31" s="9" t="s">
        <v>10</v>
      </c>
      <c r="K31" s="9" t="s">
        <v>11</v>
      </c>
      <c r="L31" s="9" t="s">
        <v>12</v>
      </c>
      <c r="M31" s="9" t="s">
        <v>13</v>
      </c>
      <c r="N31" s="9" t="s">
        <v>14</v>
      </c>
      <c r="O31" s="9" t="s">
        <v>15</v>
      </c>
    </row>
    <row r="32" spans="1:15" ht="14.5" x14ac:dyDescent="0.35">
      <c r="A32" s="21" t="s">
        <v>240</v>
      </c>
      <c r="B32" s="6">
        <v>3</v>
      </c>
      <c r="C32" s="5">
        <v>3</v>
      </c>
      <c r="D32" s="5">
        <v>2</v>
      </c>
      <c r="E32" s="5">
        <v>3</v>
      </c>
      <c r="F32" s="5">
        <v>2</v>
      </c>
      <c r="G32" s="11"/>
      <c r="H32" s="11"/>
      <c r="I32" s="11"/>
      <c r="J32" s="11"/>
      <c r="K32" s="11"/>
      <c r="L32" s="11"/>
      <c r="M32" s="5">
        <v>3</v>
      </c>
      <c r="N32" s="5">
        <v>3</v>
      </c>
      <c r="O32" s="5">
        <v>3</v>
      </c>
    </row>
    <row r="33" spans="1:15" ht="14.5" x14ac:dyDescent="0.35">
      <c r="A33" s="22" t="s">
        <v>241</v>
      </c>
      <c r="B33" s="6">
        <v>3</v>
      </c>
      <c r="C33" s="5">
        <v>3</v>
      </c>
      <c r="D33" s="5">
        <v>2</v>
      </c>
      <c r="E33" s="5">
        <v>3</v>
      </c>
      <c r="F33" s="5">
        <v>2</v>
      </c>
      <c r="G33" s="11"/>
      <c r="H33" s="11"/>
      <c r="I33" s="11"/>
      <c r="J33" s="11"/>
      <c r="K33" s="11"/>
      <c r="L33" s="11"/>
      <c r="M33" s="5">
        <v>3</v>
      </c>
      <c r="N33" s="5">
        <v>3</v>
      </c>
      <c r="O33" s="5">
        <v>3</v>
      </c>
    </row>
    <row r="34" spans="1:15" ht="14.5" x14ac:dyDescent="0.35">
      <c r="A34" s="21" t="s">
        <v>242</v>
      </c>
      <c r="B34" s="6">
        <v>3</v>
      </c>
      <c r="C34" s="5">
        <v>3</v>
      </c>
      <c r="D34" s="5">
        <v>2</v>
      </c>
      <c r="E34" s="5">
        <v>3</v>
      </c>
      <c r="F34" s="5">
        <v>2</v>
      </c>
      <c r="G34" s="11"/>
      <c r="H34" s="11"/>
      <c r="I34" s="11"/>
      <c r="J34" s="11"/>
      <c r="K34" s="11"/>
      <c r="L34" s="11"/>
      <c r="M34" s="5">
        <v>3</v>
      </c>
      <c r="N34" s="5">
        <v>3</v>
      </c>
      <c r="O34" s="5">
        <v>3</v>
      </c>
    </row>
    <row r="35" spans="1:15" ht="14.5" x14ac:dyDescent="0.35">
      <c r="A35" s="21" t="s">
        <v>243</v>
      </c>
      <c r="B35" s="6">
        <v>2</v>
      </c>
      <c r="C35" s="5">
        <v>2</v>
      </c>
      <c r="D35" s="5">
        <v>2</v>
      </c>
      <c r="E35" s="5">
        <v>2</v>
      </c>
      <c r="F35" s="5">
        <v>2</v>
      </c>
      <c r="G35" s="11"/>
      <c r="H35" s="11"/>
      <c r="I35" s="11"/>
      <c r="J35" s="11"/>
      <c r="K35" s="11"/>
      <c r="L35" s="11"/>
      <c r="M35" s="5">
        <v>3</v>
      </c>
      <c r="N35" s="5">
        <v>2</v>
      </c>
      <c r="O35" s="5">
        <v>1</v>
      </c>
    </row>
    <row r="36" spans="1:15" ht="14.5" x14ac:dyDescent="0.35">
      <c r="A36" s="21" t="s">
        <v>243</v>
      </c>
      <c r="B36" s="6">
        <v>2</v>
      </c>
      <c r="C36" s="5">
        <v>2</v>
      </c>
      <c r="D36" s="5">
        <v>2</v>
      </c>
      <c r="E36" s="5">
        <v>2</v>
      </c>
      <c r="F36" s="5">
        <v>2</v>
      </c>
      <c r="G36" s="11"/>
      <c r="H36" s="11"/>
      <c r="I36" s="11"/>
      <c r="J36" s="11"/>
      <c r="K36" s="11"/>
      <c r="L36" s="11"/>
      <c r="M36" s="5">
        <v>3</v>
      </c>
      <c r="N36" s="5">
        <v>2</v>
      </c>
      <c r="O36" s="5">
        <v>1</v>
      </c>
    </row>
    <row r="37" spans="1:15" ht="14.5" x14ac:dyDescent="0.35">
      <c r="A37" s="20" t="s">
        <v>40</v>
      </c>
      <c r="B37" s="9">
        <f t="shared" ref="B37:F37" si="7">AVERAGE(B32:B36)</f>
        <v>2.6</v>
      </c>
      <c r="C37" s="9">
        <f t="shared" si="7"/>
        <v>2.6</v>
      </c>
      <c r="D37" s="9">
        <f t="shared" si="7"/>
        <v>2</v>
      </c>
      <c r="E37" s="9">
        <f t="shared" si="7"/>
        <v>2.6</v>
      </c>
      <c r="F37" s="9">
        <f t="shared" si="7"/>
        <v>2</v>
      </c>
      <c r="G37" s="9"/>
      <c r="H37" s="9"/>
      <c r="I37" s="9"/>
      <c r="J37" s="9"/>
      <c r="K37" s="9"/>
      <c r="L37" s="9"/>
      <c r="M37" s="9">
        <f t="shared" ref="M37:O37" si="8">AVERAGE(M32:M36)</f>
        <v>3</v>
      </c>
      <c r="N37" s="9">
        <f t="shared" si="8"/>
        <v>2.6</v>
      </c>
      <c r="O37" s="9">
        <f t="shared" si="8"/>
        <v>2.2000000000000002</v>
      </c>
    </row>
    <row r="38" spans="1:15" ht="14.5" x14ac:dyDescent="0.35">
      <c r="A38" s="12" t="s">
        <v>41</v>
      </c>
      <c r="B38" s="9" t="s">
        <v>2</v>
      </c>
      <c r="C38" s="9" t="s">
        <v>3</v>
      </c>
      <c r="D38" s="9" t="s">
        <v>4</v>
      </c>
      <c r="E38" s="9" t="s">
        <v>5</v>
      </c>
      <c r="F38" s="9" t="s">
        <v>6</v>
      </c>
      <c r="G38" s="9" t="s">
        <v>7</v>
      </c>
      <c r="H38" s="9" t="s">
        <v>8</v>
      </c>
      <c r="I38" s="9" t="s">
        <v>9</v>
      </c>
      <c r="J38" s="9" t="s">
        <v>10</v>
      </c>
      <c r="K38" s="9" t="s">
        <v>11</v>
      </c>
      <c r="L38" s="9" t="s">
        <v>12</v>
      </c>
      <c r="M38" s="9" t="s">
        <v>13</v>
      </c>
      <c r="N38" s="9" t="s">
        <v>14</v>
      </c>
      <c r="O38" s="9" t="s">
        <v>15</v>
      </c>
    </row>
    <row r="39" spans="1:15" ht="14.5" x14ac:dyDescent="0.35">
      <c r="A39" s="13" t="s">
        <v>42</v>
      </c>
      <c r="B39" s="14">
        <v>3</v>
      </c>
      <c r="C39" s="14">
        <v>3</v>
      </c>
      <c r="D39" s="14">
        <v>2</v>
      </c>
      <c r="E39" s="14">
        <v>3</v>
      </c>
      <c r="F39" s="14">
        <v>3</v>
      </c>
      <c r="G39" s="14"/>
      <c r="H39" s="14"/>
      <c r="I39" s="14"/>
      <c r="J39" s="14"/>
      <c r="K39" s="14"/>
      <c r="L39" s="14"/>
      <c r="M39" s="14">
        <v>3</v>
      </c>
      <c r="N39" s="14">
        <v>3</v>
      </c>
      <c r="O39" s="14">
        <v>2</v>
      </c>
    </row>
    <row r="40" spans="1:15" ht="14.5" x14ac:dyDescent="0.35">
      <c r="A40" s="13" t="s">
        <v>43</v>
      </c>
      <c r="B40" s="14">
        <v>3</v>
      </c>
      <c r="C40" s="14">
        <v>3</v>
      </c>
      <c r="D40" s="14">
        <v>2</v>
      </c>
      <c r="E40" s="14">
        <v>3</v>
      </c>
      <c r="F40" s="14">
        <v>3</v>
      </c>
      <c r="G40" s="14"/>
      <c r="H40" s="14"/>
      <c r="I40" s="14"/>
      <c r="J40" s="14"/>
      <c r="K40" s="14"/>
      <c r="L40" s="14"/>
      <c r="M40" s="14">
        <v>3</v>
      </c>
      <c r="N40" s="14">
        <v>3</v>
      </c>
      <c r="O40" s="14">
        <v>2</v>
      </c>
    </row>
    <row r="41" spans="1:15" ht="14.5" x14ac:dyDescent="0.35">
      <c r="A41" s="13" t="s">
        <v>44</v>
      </c>
      <c r="B41" s="14">
        <v>3</v>
      </c>
      <c r="C41" s="14">
        <v>3</v>
      </c>
      <c r="D41" s="14">
        <v>2</v>
      </c>
      <c r="E41" s="14">
        <v>3</v>
      </c>
      <c r="F41" s="14">
        <v>3</v>
      </c>
      <c r="G41" s="14"/>
      <c r="H41" s="14"/>
      <c r="I41" s="14"/>
      <c r="J41" s="14"/>
      <c r="K41" s="14"/>
      <c r="L41" s="14"/>
      <c r="M41" s="14">
        <v>3</v>
      </c>
      <c r="N41" s="14">
        <v>3</v>
      </c>
      <c r="O41" s="14">
        <v>2</v>
      </c>
    </row>
    <row r="42" spans="1:15" ht="14.5" x14ac:dyDescent="0.35">
      <c r="A42" s="13" t="s">
        <v>45</v>
      </c>
      <c r="B42" s="14">
        <v>3</v>
      </c>
      <c r="C42" s="14">
        <v>3</v>
      </c>
      <c r="D42" s="14">
        <v>2</v>
      </c>
      <c r="E42" s="14">
        <v>3</v>
      </c>
      <c r="F42" s="14">
        <v>3</v>
      </c>
      <c r="G42" s="14"/>
      <c r="H42" s="14"/>
      <c r="I42" s="14"/>
      <c r="J42" s="14"/>
      <c r="K42" s="14"/>
      <c r="L42" s="14"/>
      <c r="M42" s="14">
        <v>3</v>
      </c>
      <c r="N42" s="14">
        <v>3</v>
      </c>
      <c r="O42" s="14">
        <v>2</v>
      </c>
    </row>
    <row r="43" spans="1:15" ht="14.5" x14ac:dyDescent="0.35">
      <c r="A43" s="13" t="s">
        <v>46</v>
      </c>
      <c r="B43" s="14">
        <v>3</v>
      </c>
      <c r="C43" s="14">
        <v>3</v>
      </c>
      <c r="D43" s="14">
        <v>3</v>
      </c>
      <c r="E43" s="14">
        <v>3</v>
      </c>
      <c r="F43" s="14">
        <v>3</v>
      </c>
      <c r="G43" s="14"/>
      <c r="H43" s="14"/>
      <c r="I43" s="14"/>
      <c r="J43" s="14"/>
      <c r="K43" s="14"/>
      <c r="L43" s="14"/>
      <c r="M43" s="14">
        <v>3</v>
      </c>
      <c r="N43" s="14">
        <v>3</v>
      </c>
      <c r="O43" s="14">
        <v>3</v>
      </c>
    </row>
    <row r="44" spans="1:15" ht="14.5" x14ac:dyDescent="0.35">
      <c r="A44" s="12" t="s">
        <v>41</v>
      </c>
      <c r="B44" s="9">
        <f t="shared" ref="B44:F44" si="9">AVERAGE(B39:B43)</f>
        <v>3</v>
      </c>
      <c r="C44" s="9">
        <f t="shared" si="9"/>
        <v>3</v>
      </c>
      <c r="D44" s="9">
        <f t="shared" si="9"/>
        <v>2.2000000000000002</v>
      </c>
      <c r="E44" s="9">
        <f t="shared" si="9"/>
        <v>3</v>
      </c>
      <c r="F44" s="9">
        <f t="shared" si="9"/>
        <v>3</v>
      </c>
      <c r="G44" s="9"/>
      <c r="H44" s="9"/>
      <c r="I44" s="9"/>
      <c r="J44" s="9"/>
      <c r="K44" s="9"/>
      <c r="L44" s="9"/>
      <c r="M44" s="9">
        <f t="shared" ref="M44:O44" si="10">AVERAGE(M39:M43)</f>
        <v>3</v>
      </c>
      <c r="N44" s="9">
        <f t="shared" si="10"/>
        <v>3</v>
      </c>
      <c r="O44" s="9">
        <f t="shared" si="10"/>
        <v>2.2000000000000002</v>
      </c>
    </row>
    <row r="45" spans="1:15" ht="14.5" x14ac:dyDescent="0.35">
      <c r="A45" s="12" t="s">
        <v>47</v>
      </c>
      <c r="B45" s="9" t="s">
        <v>2</v>
      </c>
      <c r="C45" s="9" t="s">
        <v>3</v>
      </c>
      <c r="D45" s="9" t="s">
        <v>4</v>
      </c>
      <c r="E45" s="9" t="s">
        <v>5</v>
      </c>
      <c r="F45" s="9" t="s">
        <v>6</v>
      </c>
      <c r="G45" s="9" t="s">
        <v>7</v>
      </c>
      <c r="H45" s="9" t="s">
        <v>8</v>
      </c>
      <c r="I45" s="9" t="s">
        <v>9</v>
      </c>
      <c r="J45" s="9" t="s">
        <v>10</v>
      </c>
      <c r="K45" s="9" t="s">
        <v>11</v>
      </c>
      <c r="L45" s="9" t="s">
        <v>12</v>
      </c>
      <c r="M45" s="9" t="s">
        <v>13</v>
      </c>
      <c r="N45" s="9" t="s">
        <v>14</v>
      </c>
      <c r="O45" s="9" t="s">
        <v>15</v>
      </c>
    </row>
    <row r="46" spans="1:15" ht="14.5" x14ac:dyDescent="0.35">
      <c r="A46" s="13" t="s">
        <v>48</v>
      </c>
      <c r="B46" s="14">
        <v>3</v>
      </c>
      <c r="C46" s="14">
        <v>3</v>
      </c>
      <c r="D46" s="14">
        <v>3</v>
      </c>
      <c r="E46" s="14">
        <v>3</v>
      </c>
      <c r="F46" s="14">
        <v>3</v>
      </c>
      <c r="G46" s="14"/>
      <c r="H46" s="14"/>
      <c r="I46" s="14"/>
      <c r="J46" s="14"/>
      <c r="K46" s="14"/>
      <c r="L46" s="14"/>
      <c r="M46" s="14">
        <v>3</v>
      </c>
      <c r="N46" s="14">
        <v>3</v>
      </c>
      <c r="O46" s="14">
        <v>3</v>
      </c>
    </row>
    <row r="47" spans="1:15" ht="26" x14ac:dyDescent="0.35">
      <c r="A47" s="13" t="s">
        <v>49</v>
      </c>
      <c r="B47" s="14">
        <v>3</v>
      </c>
      <c r="C47" s="14">
        <v>3</v>
      </c>
      <c r="D47" s="14">
        <v>3</v>
      </c>
      <c r="E47" s="14">
        <v>3</v>
      </c>
      <c r="F47" s="14">
        <v>3</v>
      </c>
      <c r="G47" s="14"/>
      <c r="H47" s="14"/>
      <c r="I47" s="14"/>
      <c r="J47" s="14"/>
      <c r="K47" s="14"/>
      <c r="L47" s="14"/>
      <c r="M47" s="14">
        <v>3</v>
      </c>
      <c r="N47" s="14">
        <v>3</v>
      </c>
      <c r="O47" s="14">
        <v>3</v>
      </c>
    </row>
    <row r="48" spans="1:15" ht="14.5" x14ac:dyDescent="0.35">
      <c r="A48" s="13" t="s">
        <v>50</v>
      </c>
      <c r="B48" s="14">
        <v>3</v>
      </c>
      <c r="C48" s="14">
        <v>3</v>
      </c>
      <c r="D48" s="14">
        <v>3</v>
      </c>
      <c r="E48" s="14">
        <v>3</v>
      </c>
      <c r="F48" s="14">
        <v>3</v>
      </c>
      <c r="G48" s="14"/>
      <c r="H48" s="14"/>
      <c r="I48" s="14"/>
      <c r="J48" s="14"/>
      <c r="K48" s="14"/>
      <c r="L48" s="14"/>
      <c r="M48" s="14">
        <v>3</v>
      </c>
      <c r="N48" s="14">
        <v>3</v>
      </c>
      <c r="O48" s="14">
        <v>3</v>
      </c>
    </row>
    <row r="49" spans="1:15" ht="14.5" x14ac:dyDescent="0.35">
      <c r="A49" s="13" t="s">
        <v>51</v>
      </c>
      <c r="B49" s="14">
        <v>3</v>
      </c>
      <c r="C49" s="14">
        <v>3</v>
      </c>
      <c r="D49" s="14">
        <v>3</v>
      </c>
      <c r="E49" s="14">
        <v>3</v>
      </c>
      <c r="F49" s="14">
        <v>3</v>
      </c>
      <c r="G49" s="14"/>
      <c r="H49" s="14"/>
      <c r="I49" s="14"/>
      <c r="J49" s="14"/>
      <c r="K49" s="14"/>
      <c r="L49" s="14"/>
      <c r="M49" s="14">
        <v>3</v>
      </c>
      <c r="N49" s="14">
        <v>3</v>
      </c>
      <c r="O49" s="14">
        <v>3</v>
      </c>
    </row>
    <row r="50" spans="1:15" ht="14.5" x14ac:dyDescent="0.35">
      <c r="A50" s="12" t="s">
        <v>47</v>
      </c>
      <c r="B50" s="9">
        <f t="shared" ref="B50:F50" si="11">AVERAGE(B46:B49)</f>
        <v>3</v>
      </c>
      <c r="C50" s="9">
        <f t="shared" si="11"/>
        <v>3</v>
      </c>
      <c r="D50" s="9">
        <f t="shared" si="11"/>
        <v>3</v>
      </c>
      <c r="E50" s="9">
        <f t="shared" si="11"/>
        <v>3</v>
      </c>
      <c r="F50" s="9">
        <f t="shared" si="11"/>
        <v>3</v>
      </c>
      <c r="G50" s="9"/>
      <c r="H50" s="9"/>
      <c r="I50" s="9"/>
      <c r="J50" s="9"/>
      <c r="K50" s="9"/>
      <c r="L50" s="9"/>
      <c r="M50" s="9">
        <f t="shared" ref="M50:O50" si="12">AVERAGE(M46:M49)</f>
        <v>3</v>
      </c>
      <c r="N50" s="9">
        <f t="shared" si="12"/>
        <v>3</v>
      </c>
      <c r="O50" s="9">
        <f t="shared" si="12"/>
        <v>3</v>
      </c>
    </row>
    <row r="51" spans="1:15" ht="14.5" x14ac:dyDescent="0.35">
      <c r="A51" s="12" t="s">
        <v>52</v>
      </c>
      <c r="B51" s="9" t="s">
        <v>2</v>
      </c>
      <c r="C51" s="9" t="s">
        <v>3</v>
      </c>
      <c r="D51" s="9" t="s">
        <v>4</v>
      </c>
      <c r="E51" s="9" t="s">
        <v>5</v>
      </c>
      <c r="F51" s="9" t="s">
        <v>6</v>
      </c>
      <c r="G51" s="9" t="s">
        <v>7</v>
      </c>
      <c r="H51" s="9" t="s">
        <v>8</v>
      </c>
      <c r="I51" s="9" t="s">
        <v>9</v>
      </c>
      <c r="J51" s="9" t="s">
        <v>10</v>
      </c>
      <c r="K51" s="9" t="s">
        <v>11</v>
      </c>
      <c r="L51" s="9" t="s">
        <v>12</v>
      </c>
      <c r="M51" s="9" t="s">
        <v>13</v>
      </c>
      <c r="N51" s="9" t="s">
        <v>14</v>
      </c>
      <c r="O51" s="9" t="s">
        <v>15</v>
      </c>
    </row>
    <row r="52" spans="1:15" ht="14.5" x14ac:dyDescent="0.35">
      <c r="A52" s="13" t="s">
        <v>53</v>
      </c>
      <c r="B52" s="14">
        <v>3</v>
      </c>
      <c r="C52" s="14">
        <v>3</v>
      </c>
      <c r="D52" s="14">
        <v>2</v>
      </c>
      <c r="E52" s="14">
        <v>3</v>
      </c>
      <c r="F52" s="14">
        <v>3</v>
      </c>
      <c r="G52" s="14"/>
      <c r="H52" s="14"/>
      <c r="I52" s="14"/>
      <c r="J52" s="14"/>
      <c r="K52" s="14"/>
      <c r="L52" s="14"/>
      <c r="M52" s="14">
        <v>3</v>
      </c>
      <c r="N52" s="14">
        <v>3</v>
      </c>
      <c r="O52" s="14">
        <v>2</v>
      </c>
    </row>
    <row r="53" spans="1:15" ht="14.5" x14ac:dyDescent="0.35">
      <c r="A53" s="13" t="s">
        <v>54</v>
      </c>
      <c r="B53" s="14">
        <v>3</v>
      </c>
      <c r="C53" s="14">
        <v>3</v>
      </c>
      <c r="D53" s="14">
        <v>2</v>
      </c>
      <c r="E53" s="14">
        <v>3</v>
      </c>
      <c r="F53" s="14">
        <v>3</v>
      </c>
      <c r="G53" s="14"/>
      <c r="H53" s="14"/>
      <c r="I53" s="14"/>
      <c r="J53" s="14"/>
      <c r="K53" s="14"/>
      <c r="L53" s="14"/>
      <c r="M53" s="14">
        <v>3</v>
      </c>
      <c r="N53" s="14">
        <v>3</v>
      </c>
      <c r="O53" s="14">
        <v>2</v>
      </c>
    </row>
    <row r="54" spans="1:15" ht="14.5" x14ac:dyDescent="0.35">
      <c r="A54" s="13" t="s">
        <v>55</v>
      </c>
      <c r="B54" s="14">
        <v>3</v>
      </c>
      <c r="C54" s="14">
        <v>3</v>
      </c>
      <c r="D54" s="14">
        <v>2</v>
      </c>
      <c r="E54" s="14">
        <v>3</v>
      </c>
      <c r="F54" s="14">
        <v>3</v>
      </c>
      <c r="G54" s="14"/>
      <c r="H54" s="14"/>
      <c r="I54" s="14"/>
      <c r="J54" s="14"/>
      <c r="K54" s="14"/>
      <c r="L54" s="14"/>
      <c r="M54" s="14">
        <v>3</v>
      </c>
      <c r="N54" s="14">
        <v>3</v>
      </c>
      <c r="O54" s="14">
        <v>2</v>
      </c>
    </row>
    <row r="55" spans="1:15" ht="14.5" x14ac:dyDescent="0.35">
      <c r="A55" s="13" t="s">
        <v>56</v>
      </c>
      <c r="B55" s="14">
        <v>3</v>
      </c>
      <c r="C55" s="14">
        <v>3</v>
      </c>
      <c r="D55" s="14">
        <v>3</v>
      </c>
      <c r="E55" s="14">
        <v>3</v>
      </c>
      <c r="F55" s="14">
        <v>3</v>
      </c>
      <c r="G55" s="14"/>
      <c r="H55" s="14"/>
      <c r="I55" s="14"/>
      <c r="J55" s="14"/>
      <c r="K55" s="14"/>
      <c r="L55" s="14"/>
      <c r="M55" s="14">
        <v>3</v>
      </c>
      <c r="N55" s="14">
        <v>3</v>
      </c>
      <c r="O55" s="14">
        <v>3</v>
      </c>
    </row>
    <row r="56" spans="1:15" ht="26" x14ac:dyDescent="0.35">
      <c r="A56" s="13" t="s">
        <v>57</v>
      </c>
      <c r="B56" s="14">
        <v>3</v>
      </c>
      <c r="C56" s="14">
        <v>3</v>
      </c>
      <c r="D56" s="14">
        <v>2</v>
      </c>
      <c r="E56" s="14">
        <v>3</v>
      </c>
      <c r="F56" s="14">
        <v>3</v>
      </c>
      <c r="G56" s="14"/>
      <c r="H56" s="14"/>
      <c r="I56" s="14"/>
      <c r="J56" s="14"/>
      <c r="K56" s="14"/>
      <c r="L56" s="14"/>
      <c r="M56" s="14">
        <v>3</v>
      </c>
      <c r="N56" s="14">
        <v>3</v>
      </c>
      <c r="O56" s="14">
        <v>2</v>
      </c>
    </row>
    <row r="57" spans="1:15" ht="14.5" x14ac:dyDescent="0.35">
      <c r="A57" s="12" t="s">
        <v>52</v>
      </c>
      <c r="B57" s="9">
        <f t="shared" ref="B57:F57" si="13">AVERAGE(B52:B56)</f>
        <v>3</v>
      </c>
      <c r="C57" s="9">
        <f t="shared" si="13"/>
        <v>3</v>
      </c>
      <c r="D57" s="9">
        <f t="shared" si="13"/>
        <v>2.2000000000000002</v>
      </c>
      <c r="E57" s="9">
        <f t="shared" si="13"/>
        <v>3</v>
      </c>
      <c r="F57" s="9">
        <f t="shared" si="13"/>
        <v>3</v>
      </c>
      <c r="G57" s="9"/>
      <c r="H57" s="9"/>
      <c r="I57" s="9"/>
      <c r="J57" s="9"/>
      <c r="K57" s="9"/>
      <c r="L57" s="9"/>
      <c r="M57" s="9">
        <f t="shared" ref="M57:O57" si="14">AVERAGE(M52:M56)</f>
        <v>3</v>
      </c>
      <c r="N57" s="9">
        <f t="shared" si="14"/>
        <v>3</v>
      </c>
      <c r="O57" s="9">
        <f t="shared" si="14"/>
        <v>2.2000000000000002</v>
      </c>
    </row>
    <row r="58" spans="1:15" ht="14.5" x14ac:dyDescent="0.35">
      <c r="A58" s="12" t="s">
        <v>58</v>
      </c>
      <c r="B58" s="9" t="s">
        <v>2</v>
      </c>
      <c r="C58" s="9" t="s">
        <v>3</v>
      </c>
      <c r="D58" s="9" t="s">
        <v>4</v>
      </c>
      <c r="E58" s="9" t="s">
        <v>5</v>
      </c>
      <c r="F58" s="9" t="s">
        <v>6</v>
      </c>
      <c r="G58" s="9" t="s">
        <v>7</v>
      </c>
      <c r="H58" s="9" t="s">
        <v>8</v>
      </c>
      <c r="I58" s="9" t="s">
        <v>9</v>
      </c>
      <c r="J58" s="9" t="s">
        <v>10</v>
      </c>
      <c r="K58" s="9" t="s">
        <v>11</v>
      </c>
      <c r="L58" s="9" t="s">
        <v>12</v>
      </c>
      <c r="M58" s="9" t="s">
        <v>13</v>
      </c>
      <c r="N58" s="9" t="s">
        <v>14</v>
      </c>
      <c r="O58" s="9" t="s">
        <v>15</v>
      </c>
    </row>
    <row r="59" spans="1:15" ht="26" x14ac:dyDescent="0.35">
      <c r="A59" s="13" t="s">
        <v>59</v>
      </c>
      <c r="B59" s="14">
        <v>3</v>
      </c>
      <c r="C59" s="14">
        <v>3</v>
      </c>
      <c r="D59" s="14">
        <v>2</v>
      </c>
      <c r="E59" s="14">
        <v>3</v>
      </c>
      <c r="F59" s="14">
        <v>3</v>
      </c>
      <c r="G59" s="14"/>
      <c r="H59" s="14"/>
      <c r="I59" s="14"/>
      <c r="J59" s="14"/>
      <c r="K59" s="14">
        <v>3</v>
      </c>
      <c r="L59" s="11"/>
      <c r="M59" s="14">
        <v>3</v>
      </c>
      <c r="N59" s="14">
        <v>3</v>
      </c>
      <c r="O59" s="14">
        <v>2</v>
      </c>
    </row>
    <row r="60" spans="1:15" ht="14.5" x14ac:dyDescent="0.35">
      <c r="A60" s="13" t="s">
        <v>60</v>
      </c>
      <c r="B60" s="14">
        <v>3</v>
      </c>
      <c r="C60" s="14">
        <v>3</v>
      </c>
      <c r="D60" s="14">
        <v>2</v>
      </c>
      <c r="E60" s="14">
        <v>3</v>
      </c>
      <c r="F60" s="14">
        <v>3</v>
      </c>
      <c r="G60" s="14"/>
      <c r="H60" s="14"/>
      <c r="I60" s="14"/>
      <c r="J60" s="14"/>
      <c r="K60" s="14">
        <v>3</v>
      </c>
      <c r="L60" s="11"/>
      <c r="M60" s="14">
        <v>3</v>
      </c>
      <c r="N60" s="14">
        <v>3</v>
      </c>
      <c r="O60" s="14">
        <v>2</v>
      </c>
    </row>
    <row r="61" spans="1:15" ht="14.5" x14ac:dyDescent="0.35">
      <c r="A61" s="13" t="s">
        <v>61</v>
      </c>
      <c r="B61" s="14">
        <v>3</v>
      </c>
      <c r="C61" s="14">
        <v>3</v>
      </c>
      <c r="D61" s="14">
        <v>2</v>
      </c>
      <c r="E61" s="14">
        <v>3</v>
      </c>
      <c r="F61" s="14">
        <v>3</v>
      </c>
      <c r="G61" s="14"/>
      <c r="H61" s="14"/>
      <c r="I61" s="14"/>
      <c r="J61" s="14"/>
      <c r="K61" s="14">
        <v>3</v>
      </c>
      <c r="L61" s="11"/>
      <c r="M61" s="14">
        <v>3</v>
      </c>
      <c r="N61" s="14">
        <v>3</v>
      </c>
      <c r="O61" s="14">
        <v>2</v>
      </c>
    </row>
    <row r="62" spans="1:15" ht="14.5" x14ac:dyDescent="0.35">
      <c r="A62" s="12" t="s">
        <v>58</v>
      </c>
      <c r="B62" s="9">
        <f t="shared" ref="B62:F62" si="15">AVERAGE(B59:B61)</f>
        <v>3</v>
      </c>
      <c r="C62" s="9">
        <f t="shared" si="15"/>
        <v>3</v>
      </c>
      <c r="D62" s="9">
        <f t="shared" si="15"/>
        <v>2</v>
      </c>
      <c r="E62" s="9">
        <f t="shared" si="15"/>
        <v>3</v>
      </c>
      <c r="F62" s="9">
        <f t="shared" si="15"/>
        <v>3</v>
      </c>
      <c r="G62" s="9"/>
      <c r="H62" s="9"/>
      <c r="I62" s="9"/>
      <c r="J62" s="9"/>
      <c r="K62" s="9">
        <v>3</v>
      </c>
      <c r="L62" s="11"/>
      <c r="M62" s="9">
        <f t="shared" ref="M62:O62" si="16">AVERAGE(M59:M61)</f>
        <v>3</v>
      </c>
      <c r="N62" s="9">
        <f t="shared" si="16"/>
        <v>3</v>
      </c>
      <c r="O62" s="9">
        <f t="shared" si="16"/>
        <v>2</v>
      </c>
    </row>
    <row r="63" spans="1:15" ht="14.5" x14ac:dyDescent="0.35">
      <c r="A63" s="15" t="s">
        <v>62</v>
      </c>
      <c r="B63" s="9" t="s">
        <v>2</v>
      </c>
      <c r="C63" s="9" t="s">
        <v>3</v>
      </c>
      <c r="D63" s="9" t="s">
        <v>4</v>
      </c>
      <c r="E63" s="9" t="s">
        <v>5</v>
      </c>
      <c r="F63" s="9" t="s">
        <v>6</v>
      </c>
      <c r="G63" s="9" t="s">
        <v>7</v>
      </c>
      <c r="H63" s="9" t="s">
        <v>8</v>
      </c>
      <c r="I63" s="9" t="s">
        <v>9</v>
      </c>
      <c r="J63" s="9" t="s">
        <v>10</v>
      </c>
      <c r="K63" s="9" t="s">
        <v>11</v>
      </c>
      <c r="L63" s="9" t="s">
        <v>12</v>
      </c>
      <c r="M63" s="9" t="s">
        <v>13</v>
      </c>
      <c r="N63" s="9" t="s">
        <v>14</v>
      </c>
      <c r="O63" s="9" t="s">
        <v>15</v>
      </c>
    </row>
    <row r="64" spans="1:15" ht="14.5" x14ac:dyDescent="0.35">
      <c r="A64" s="4" t="s">
        <v>63</v>
      </c>
      <c r="B64" s="5">
        <v>3</v>
      </c>
      <c r="C64" s="5">
        <v>3</v>
      </c>
      <c r="D64" s="5">
        <v>3</v>
      </c>
      <c r="E64" s="5">
        <v>3</v>
      </c>
      <c r="F64" s="5">
        <v>3</v>
      </c>
      <c r="G64" s="5"/>
      <c r="H64" s="5"/>
      <c r="I64" s="5"/>
      <c r="J64" s="5">
        <v>2</v>
      </c>
      <c r="K64" s="5">
        <v>3</v>
      </c>
      <c r="L64" s="5">
        <v>3</v>
      </c>
      <c r="M64" s="5">
        <v>3</v>
      </c>
      <c r="N64" s="5">
        <v>3</v>
      </c>
      <c r="O64" s="5">
        <v>3</v>
      </c>
    </row>
    <row r="65" spans="1:15" ht="14.5" x14ac:dyDescent="0.35">
      <c r="A65" s="4" t="s">
        <v>64</v>
      </c>
      <c r="B65" s="5">
        <v>3</v>
      </c>
      <c r="C65" s="5">
        <v>3</v>
      </c>
      <c r="D65" s="5">
        <v>3</v>
      </c>
      <c r="E65" s="5">
        <v>3</v>
      </c>
      <c r="F65" s="5">
        <v>3</v>
      </c>
      <c r="G65" s="5"/>
      <c r="H65" s="5"/>
      <c r="I65" s="5"/>
      <c r="J65" s="5">
        <v>3</v>
      </c>
      <c r="K65" s="5">
        <v>3</v>
      </c>
      <c r="L65" s="5">
        <v>3</v>
      </c>
      <c r="M65" s="5">
        <v>3</v>
      </c>
      <c r="N65" s="5">
        <v>3</v>
      </c>
      <c r="O65" s="5">
        <v>3</v>
      </c>
    </row>
    <row r="66" spans="1:15" ht="14.5" x14ac:dyDescent="0.35">
      <c r="A66" s="4" t="s">
        <v>65</v>
      </c>
      <c r="B66" s="5">
        <v>3</v>
      </c>
      <c r="C66" s="5">
        <v>3</v>
      </c>
      <c r="D66" s="5">
        <v>2</v>
      </c>
      <c r="E66" s="5">
        <v>3</v>
      </c>
      <c r="F66" s="5">
        <v>3</v>
      </c>
      <c r="G66" s="5"/>
      <c r="H66" s="5"/>
      <c r="I66" s="5"/>
      <c r="J66" s="5">
        <v>2</v>
      </c>
      <c r="K66" s="5">
        <v>3</v>
      </c>
      <c r="L66" s="5">
        <v>2</v>
      </c>
      <c r="M66" s="5">
        <v>3</v>
      </c>
      <c r="N66" s="5">
        <v>2</v>
      </c>
      <c r="O66" s="5">
        <v>2</v>
      </c>
    </row>
    <row r="67" spans="1:15" ht="14.5" x14ac:dyDescent="0.35">
      <c r="A67" s="4" t="s">
        <v>66</v>
      </c>
      <c r="B67" s="5">
        <v>3</v>
      </c>
      <c r="C67" s="5">
        <v>3</v>
      </c>
      <c r="D67" s="5">
        <v>2</v>
      </c>
      <c r="E67" s="5">
        <v>3</v>
      </c>
      <c r="F67" s="5">
        <v>3</v>
      </c>
      <c r="G67" s="5"/>
      <c r="H67" s="5"/>
      <c r="I67" s="5"/>
      <c r="J67" s="5">
        <v>3</v>
      </c>
      <c r="K67" s="5">
        <v>3</v>
      </c>
      <c r="L67" s="5">
        <v>3</v>
      </c>
      <c r="M67" s="5">
        <v>3</v>
      </c>
      <c r="N67" s="5">
        <v>2</v>
      </c>
      <c r="O67" s="5">
        <v>3</v>
      </c>
    </row>
    <row r="68" spans="1:15" ht="14.5" x14ac:dyDescent="0.35">
      <c r="A68" s="4" t="s">
        <v>67</v>
      </c>
      <c r="B68" s="5">
        <v>3</v>
      </c>
      <c r="C68" s="5">
        <v>3</v>
      </c>
      <c r="D68" s="5">
        <v>2</v>
      </c>
      <c r="E68" s="5">
        <v>3</v>
      </c>
      <c r="F68" s="5">
        <v>3</v>
      </c>
      <c r="G68" s="5"/>
      <c r="H68" s="5"/>
      <c r="I68" s="5"/>
      <c r="J68" s="5">
        <v>2</v>
      </c>
      <c r="K68" s="5">
        <v>2</v>
      </c>
      <c r="L68" s="5">
        <v>2</v>
      </c>
      <c r="M68" s="5">
        <v>3</v>
      </c>
      <c r="N68" s="5">
        <v>2</v>
      </c>
      <c r="O68" s="5">
        <v>2</v>
      </c>
    </row>
    <row r="69" spans="1:15" ht="14.5" x14ac:dyDescent="0.35">
      <c r="A69" s="15" t="s">
        <v>62</v>
      </c>
      <c r="B69" s="5">
        <v>3</v>
      </c>
      <c r="C69" s="5">
        <v>3</v>
      </c>
      <c r="D69" s="5">
        <f t="shared" ref="D69:F69" si="17">AVERAGE(D64:D68)</f>
        <v>2.4</v>
      </c>
      <c r="E69" s="5">
        <f t="shared" si="17"/>
        <v>3</v>
      </c>
      <c r="F69" s="5">
        <f t="shared" si="17"/>
        <v>3</v>
      </c>
      <c r="G69" s="11"/>
      <c r="H69" s="11"/>
      <c r="I69" s="11"/>
      <c r="J69" s="24">
        <f t="shared" ref="J69:L69" si="18">AVERAGE(J64:J68)</f>
        <v>2.4</v>
      </c>
      <c r="K69" s="24">
        <f t="shared" si="18"/>
        <v>2.8</v>
      </c>
      <c r="L69" s="24">
        <f t="shared" si="18"/>
        <v>2.6</v>
      </c>
      <c r="M69" s="5">
        <v>3</v>
      </c>
      <c r="N69" s="5">
        <f t="shared" ref="N69:O69" si="19">AVERAGE(N64:N68)</f>
        <v>2.4</v>
      </c>
      <c r="O69" s="5">
        <f t="shared" si="19"/>
        <v>2.6</v>
      </c>
    </row>
    <row r="70" spans="1:15" ht="14.5" x14ac:dyDescent="0.35">
      <c r="A70" s="15" t="s">
        <v>68</v>
      </c>
      <c r="B70" s="9" t="s">
        <v>2</v>
      </c>
      <c r="C70" s="9" t="s">
        <v>3</v>
      </c>
      <c r="D70" s="9" t="s">
        <v>4</v>
      </c>
      <c r="E70" s="9" t="s">
        <v>5</v>
      </c>
      <c r="F70" s="9" t="s">
        <v>6</v>
      </c>
      <c r="G70" s="9" t="s">
        <v>7</v>
      </c>
      <c r="H70" s="9" t="s">
        <v>8</v>
      </c>
      <c r="I70" s="9" t="s">
        <v>9</v>
      </c>
      <c r="J70" s="9" t="s">
        <v>10</v>
      </c>
      <c r="K70" s="9" t="s">
        <v>11</v>
      </c>
      <c r="L70" s="9" t="s">
        <v>12</v>
      </c>
      <c r="M70" s="9" t="s">
        <v>13</v>
      </c>
      <c r="N70" s="9" t="s">
        <v>14</v>
      </c>
      <c r="O70" s="9" t="s">
        <v>15</v>
      </c>
    </row>
    <row r="71" spans="1:15" s="23" customFormat="1" ht="26.5" x14ac:dyDescent="0.35">
      <c r="A71" s="4" t="s">
        <v>69</v>
      </c>
      <c r="B71" s="4"/>
      <c r="C71" s="4"/>
      <c r="D71" s="4"/>
      <c r="E71" s="4"/>
      <c r="F71" s="4"/>
      <c r="G71" s="5">
        <v>2</v>
      </c>
      <c r="H71" s="5">
        <v>2</v>
      </c>
      <c r="I71" s="5">
        <v>2</v>
      </c>
      <c r="J71" s="5">
        <v>2</v>
      </c>
      <c r="K71" s="5">
        <v>2</v>
      </c>
      <c r="L71" s="5">
        <v>2</v>
      </c>
      <c r="M71" s="4"/>
      <c r="N71" s="4"/>
      <c r="O71" s="4"/>
    </row>
    <row r="72" spans="1:15" s="23" customFormat="1" ht="26.5" x14ac:dyDescent="0.35">
      <c r="A72" s="4" t="s">
        <v>70</v>
      </c>
      <c r="B72" s="4"/>
      <c r="C72" s="4"/>
      <c r="D72" s="4"/>
      <c r="E72" s="4"/>
      <c r="F72" s="4"/>
      <c r="G72" s="5">
        <v>1</v>
      </c>
      <c r="H72" s="5">
        <v>1</v>
      </c>
      <c r="I72" s="5">
        <v>1</v>
      </c>
      <c r="J72" s="5">
        <v>1</v>
      </c>
      <c r="K72" s="5">
        <v>1</v>
      </c>
      <c r="L72" s="5">
        <v>1</v>
      </c>
      <c r="M72" s="4"/>
      <c r="N72" s="4"/>
      <c r="O72" s="4"/>
    </row>
    <row r="73" spans="1:15" s="23" customFormat="1" ht="26.5" x14ac:dyDescent="0.35">
      <c r="A73" s="4" t="s">
        <v>71</v>
      </c>
      <c r="B73" s="4"/>
      <c r="C73" s="4"/>
      <c r="D73" s="4"/>
      <c r="E73" s="4"/>
      <c r="F73" s="4"/>
      <c r="G73" s="5">
        <v>3</v>
      </c>
      <c r="H73" s="5">
        <v>3</v>
      </c>
      <c r="I73" s="5">
        <v>3</v>
      </c>
      <c r="J73" s="5">
        <v>3</v>
      </c>
      <c r="K73" s="5">
        <v>3</v>
      </c>
      <c r="L73" s="5">
        <v>3</v>
      </c>
      <c r="M73" s="4"/>
      <c r="N73" s="4"/>
      <c r="O73" s="4"/>
    </row>
    <row r="74" spans="1:15" s="23" customFormat="1" ht="39.5" x14ac:dyDescent="0.35">
      <c r="A74" s="4" t="s">
        <v>72</v>
      </c>
      <c r="B74" s="4"/>
      <c r="C74" s="4"/>
      <c r="D74" s="4"/>
      <c r="E74" s="4"/>
      <c r="F74" s="4"/>
      <c r="G74" s="5">
        <v>1</v>
      </c>
      <c r="H74" s="5">
        <v>1</v>
      </c>
      <c r="I74" s="5">
        <v>1</v>
      </c>
      <c r="J74" s="5">
        <v>1</v>
      </c>
      <c r="K74" s="5">
        <v>1</v>
      </c>
      <c r="L74" s="5">
        <v>1</v>
      </c>
      <c r="M74" s="4"/>
      <c r="N74" s="4"/>
      <c r="O74" s="4"/>
    </row>
    <row r="75" spans="1:15" s="23" customFormat="1" ht="26.5" x14ac:dyDescent="0.35">
      <c r="A75" s="4" t="s">
        <v>73</v>
      </c>
      <c r="B75" s="4"/>
      <c r="C75" s="4"/>
      <c r="D75" s="4"/>
      <c r="E75" s="4"/>
      <c r="F75" s="4"/>
      <c r="G75" s="5">
        <v>3</v>
      </c>
      <c r="H75" s="5">
        <v>3</v>
      </c>
      <c r="I75" s="5">
        <v>3</v>
      </c>
      <c r="J75" s="5">
        <v>3</v>
      </c>
      <c r="K75" s="5">
        <v>3</v>
      </c>
      <c r="L75" s="5">
        <v>3</v>
      </c>
      <c r="M75" s="4"/>
      <c r="N75" s="4"/>
      <c r="O75" s="4"/>
    </row>
    <row r="76" spans="1:15" ht="14.5" x14ac:dyDescent="0.35">
      <c r="A76" s="15" t="s">
        <v>68</v>
      </c>
      <c r="B76" s="11"/>
      <c r="C76" s="11"/>
      <c r="D76" s="11"/>
      <c r="E76" s="11"/>
      <c r="F76" s="11"/>
      <c r="G76" s="9">
        <f t="shared" ref="G76:L76" si="20">AVERAGE(G71:G75)</f>
        <v>2</v>
      </c>
      <c r="H76" s="9">
        <f t="shared" si="20"/>
        <v>2</v>
      </c>
      <c r="I76" s="9">
        <f t="shared" si="20"/>
        <v>2</v>
      </c>
      <c r="J76" s="9">
        <f t="shared" si="20"/>
        <v>2</v>
      </c>
      <c r="K76" s="9">
        <f t="shared" si="20"/>
        <v>2</v>
      </c>
      <c r="L76" s="9">
        <f t="shared" si="20"/>
        <v>2</v>
      </c>
      <c r="M76" s="11"/>
      <c r="N76" s="11"/>
      <c r="O76" s="11"/>
    </row>
    <row r="77" spans="1:15" ht="14.5" x14ac:dyDescent="0.35">
      <c r="A77" s="15" t="s">
        <v>74</v>
      </c>
      <c r="B77" s="9" t="s">
        <v>2</v>
      </c>
      <c r="C77" s="9" t="s">
        <v>3</v>
      </c>
      <c r="D77" s="9" t="s">
        <v>4</v>
      </c>
      <c r="E77" s="9" t="s">
        <v>5</v>
      </c>
      <c r="F77" s="9" t="s">
        <v>6</v>
      </c>
      <c r="G77" s="9" t="s">
        <v>7</v>
      </c>
      <c r="H77" s="9" t="s">
        <v>8</v>
      </c>
      <c r="I77" s="9" t="s">
        <v>9</v>
      </c>
      <c r="J77" s="9" t="s">
        <v>10</v>
      </c>
      <c r="K77" s="9" t="s">
        <v>11</v>
      </c>
      <c r="L77" s="9" t="s">
        <v>12</v>
      </c>
      <c r="M77" s="9" t="s">
        <v>13</v>
      </c>
      <c r="N77" s="9" t="s">
        <v>14</v>
      </c>
      <c r="O77" s="9" t="s">
        <v>15</v>
      </c>
    </row>
    <row r="78" spans="1:15" ht="26.5" x14ac:dyDescent="0.35">
      <c r="A78" s="4" t="s">
        <v>75</v>
      </c>
      <c r="B78" s="16">
        <v>3</v>
      </c>
      <c r="C78" s="16">
        <v>3</v>
      </c>
      <c r="D78" s="16">
        <v>2</v>
      </c>
      <c r="E78" s="16">
        <v>3</v>
      </c>
      <c r="F78" s="16">
        <v>3</v>
      </c>
      <c r="G78" s="9"/>
      <c r="H78" s="9"/>
      <c r="I78" s="9"/>
      <c r="J78" s="9"/>
      <c r="K78" s="9"/>
      <c r="L78" s="9"/>
      <c r="M78" s="16">
        <v>3</v>
      </c>
      <c r="N78" s="16">
        <v>3</v>
      </c>
      <c r="O78" s="16">
        <v>2</v>
      </c>
    </row>
    <row r="79" spans="1:15" ht="26" x14ac:dyDescent="0.35">
      <c r="A79" s="17" t="s">
        <v>76</v>
      </c>
      <c r="B79" s="16">
        <v>1</v>
      </c>
      <c r="C79" s="16">
        <v>1</v>
      </c>
      <c r="D79" s="16">
        <v>1</v>
      </c>
      <c r="E79" s="16">
        <v>1</v>
      </c>
      <c r="F79" s="16">
        <v>1</v>
      </c>
      <c r="G79" s="9"/>
      <c r="H79" s="9"/>
      <c r="I79" s="9"/>
      <c r="J79" s="9"/>
      <c r="K79" s="9"/>
      <c r="L79" s="9"/>
      <c r="M79" s="16">
        <v>3</v>
      </c>
      <c r="N79" s="16">
        <v>1</v>
      </c>
      <c r="O79" s="16">
        <v>1</v>
      </c>
    </row>
    <row r="80" spans="1:15" ht="26.5" x14ac:dyDescent="0.35">
      <c r="A80" s="4" t="s">
        <v>77</v>
      </c>
      <c r="B80" s="16">
        <v>3</v>
      </c>
      <c r="C80" s="16">
        <v>3</v>
      </c>
      <c r="D80" s="16">
        <v>2</v>
      </c>
      <c r="E80" s="16">
        <v>3</v>
      </c>
      <c r="F80" s="16">
        <v>3</v>
      </c>
      <c r="G80" s="9"/>
      <c r="H80" s="9"/>
      <c r="I80" s="9"/>
      <c r="J80" s="9"/>
      <c r="K80" s="9"/>
      <c r="L80" s="9"/>
      <c r="M80" s="16">
        <v>3</v>
      </c>
      <c r="N80" s="16">
        <v>3</v>
      </c>
      <c r="O80" s="16">
        <v>2</v>
      </c>
    </row>
    <row r="81" spans="1:15" ht="14.5" x14ac:dyDescent="0.35">
      <c r="A81" s="17" t="s">
        <v>78</v>
      </c>
      <c r="B81" s="16">
        <v>1</v>
      </c>
      <c r="C81" s="16">
        <v>1</v>
      </c>
      <c r="D81" s="16">
        <v>1</v>
      </c>
      <c r="E81" s="16">
        <v>1</v>
      </c>
      <c r="F81" s="16">
        <v>1</v>
      </c>
      <c r="G81" s="9"/>
      <c r="H81" s="9"/>
      <c r="I81" s="9"/>
      <c r="J81" s="9"/>
      <c r="K81" s="9"/>
      <c r="L81" s="9"/>
      <c r="M81" s="16">
        <v>3</v>
      </c>
      <c r="N81" s="16">
        <v>1</v>
      </c>
      <c r="O81" s="16">
        <v>1</v>
      </c>
    </row>
    <row r="82" spans="1:15" ht="26" x14ac:dyDescent="0.35">
      <c r="A82" s="17" t="s">
        <v>79</v>
      </c>
      <c r="B82" s="16">
        <v>3</v>
      </c>
      <c r="C82" s="16">
        <v>3</v>
      </c>
      <c r="D82" s="16">
        <v>3</v>
      </c>
      <c r="E82" s="16">
        <v>3</v>
      </c>
      <c r="F82" s="16">
        <v>3</v>
      </c>
      <c r="G82" s="9"/>
      <c r="H82" s="9"/>
      <c r="I82" s="9"/>
      <c r="J82" s="9"/>
      <c r="K82" s="9"/>
      <c r="L82" s="9"/>
      <c r="M82" s="16">
        <v>3</v>
      </c>
      <c r="N82" s="16">
        <v>3</v>
      </c>
      <c r="O82" s="16">
        <v>3</v>
      </c>
    </row>
    <row r="83" spans="1:15" ht="14.5" x14ac:dyDescent="0.35">
      <c r="A83" s="15" t="s">
        <v>74</v>
      </c>
      <c r="B83" s="9">
        <f t="shared" ref="B83:F83" si="21">AVERAGE(B78:B82)</f>
        <v>2.2000000000000002</v>
      </c>
      <c r="C83" s="9">
        <f t="shared" si="21"/>
        <v>2.2000000000000002</v>
      </c>
      <c r="D83" s="9">
        <f t="shared" si="21"/>
        <v>1.8</v>
      </c>
      <c r="E83" s="9">
        <f t="shared" si="21"/>
        <v>2.2000000000000002</v>
      </c>
      <c r="F83" s="9">
        <f t="shared" si="21"/>
        <v>2.2000000000000002</v>
      </c>
      <c r="G83" s="9"/>
      <c r="H83" s="9"/>
      <c r="I83" s="9"/>
      <c r="J83" s="9"/>
      <c r="K83" s="9"/>
      <c r="L83" s="9"/>
      <c r="M83" s="9">
        <f t="shared" ref="M83:O83" si="22">AVERAGE(M78:M82)</f>
        <v>3</v>
      </c>
      <c r="N83" s="9">
        <f t="shared" si="22"/>
        <v>2.2000000000000002</v>
      </c>
      <c r="O83" s="9">
        <f t="shared" si="22"/>
        <v>1.8</v>
      </c>
    </row>
    <row r="84" spans="1:15" ht="14.5" x14ac:dyDescent="0.35">
      <c r="A84" s="3" t="s">
        <v>80</v>
      </c>
      <c r="B84" s="9" t="s">
        <v>2</v>
      </c>
      <c r="C84" s="9" t="s">
        <v>3</v>
      </c>
      <c r="D84" s="9" t="s">
        <v>4</v>
      </c>
      <c r="E84" s="9" t="s">
        <v>5</v>
      </c>
      <c r="F84" s="9" t="s">
        <v>6</v>
      </c>
      <c r="G84" s="9" t="s">
        <v>7</v>
      </c>
      <c r="H84" s="9" t="s">
        <v>8</v>
      </c>
      <c r="I84" s="9" t="s">
        <v>9</v>
      </c>
      <c r="J84" s="9" t="s">
        <v>10</v>
      </c>
      <c r="K84" s="9" t="s">
        <v>11</v>
      </c>
      <c r="L84" s="9" t="s">
        <v>12</v>
      </c>
      <c r="M84" s="9" t="s">
        <v>13</v>
      </c>
      <c r="N84" s="9" t="s">
        <v>14</v>
      </c>
      <c r="O84" s="9" t="s">
        <v>15</v>
      </c>
    </row>
    <row r="85" spans="1:15" ht="14.5" x14ac:dyDescent="0.35">
      <c r="A85" s="4" t="s">
        <v>81</v>
      </c>
      <c r="B85" s="16">
        <v>1</v>
      </c>
      <c r="C85" s="16">
        <v>1</v>
      </c>
      <c r="D85" s="16">
        <v>1</v>
      </c>
      <c r="E85" s="16">
        <v>1</v>
      </c>
      <c r="F85" s="16">
        <v>1</v>
      </c>
      <c r="G85" s="16"/>
      <c r="H85" s="16"/>
      <c r="I85" s="16"/>
      <c r="J85" s="16"/>
      <c r="K85" s="16"/>
      <c r="L85" s="16"/>
      <c r="M85" s="16">
        <v>3</v>
      </c>
      <c r="N85" s="16">
        <v>1</v>
      </c>
      <c r="O85" s="16">
        <v>1</v>
      </c>
    </row>
    <row r="86" spans="1:15" ht="14.5" x14ac:dyDescent="0.35">
      <c r="A86" s="17" t="s">
        <v>82</v>
      </c>
      <c r="B86" s="16">
        <v>3</v>
      </c>
      <c r="C86" s="16">
        <v>3</v>
      </c>
      <c r="D86" s="16">
        <v>2</v>
      </c>
      <c r="E86" s="16">
        <v>3</v>
      </c>
      <c r="F86" s="16">
        <v>3</v>
      </c>
      <c r="G86" s="16"/>
      <c r="H86" s="16"/>
      <c r="I86" s="16"/>
      <c r="J86" s="16"/>
      <c r="K86" s="16"/>
      <c r="L86" s="16"/>
      <c r="M86" s="16">
        <v>3</v>
      </c>
      <c r="N86" s="16">
        <v>3</v>
      </c>
      <c r="O86" s="16">
        <v>2</v>
      </c>
    </row>
    <row r="87" spans="1:15" ht="14.5" x14ac:dyDescent="0.35">
      <c r="A87" s="4" t="s">
        <v>83</v>
      </c>
      <c r="B87" s="16">
        <v>3</v>
      </c>
      <c r="C87" s="16">
        <v>3</v>
      </c>
      <c r="D87" s="16">
        <v>3</v>
      </c>
      <c r="E87" s="16">
        <v>3</v>
      </c>
      <c r="F87" s="16">
        <v>3</v>
      </c>
      <c r="G87" s="16"/>
      <c r="H87" s="16"/>
      <c r="I87" s="16"/>
      <c r="J87" s="16"/>
      <c r="K87" s="16"/>
      <c r="L87" s="16"/>
      <c r="M87" s="16">
        <v>3</v>
      </c>
      <c r="N87" s="16">
        <v>3</v>
      </c>
      <c r="O87" s="16">
        <v>3</v>
      </c>
    </row>
    <row r="88" spans="1:15" ht="14.5" x14ac:dyDescent="0.35">
      <c r="A88" s="17" t="s">
        <v>84</v>
      </c>
      <c r="B88" s="16">
        <v>3</v>
      </c>
      <c r="C88" s="16">
        <v>3</v>
      </c>
      <c r="D88" s="16">
        <v>3</v>
      </c>
      <c r="E88" s="16">
        <v>3</v>
      </c>
      <c r="F88" s="16">
        <v>3</v>
      </c>
      <c r="G88" s="16"/>
      <c r="H88" s="16"/>
      <c r="I88" s="16"/>
      <c r="J88" s="16"/>
      <c r="K88" s="16"/>
      <c r="L88" s="16"/>
      <c r="M88" s="16">
        <v>3</v>
      </c>
      <c r="N88" s="16">
        <v>3</v>
      </c>
      <c r="O88" s="16">
        <v>3</v>
      </c>
    </row>
    <row r="89" spans="1:15" ht="26" x14ac:dyDescent="0.35">
      <c r="A89" s="17" t="s">
        <v>85</v>
      </c>
      <c r="B89" s="16">
        <v>3</v>
      </c>
      <c r="C89" s="16">
        <v>3</v>
      </c>
      <c r="D89" s="16">
        <v>3</v>
      </c>
      <c r="E89" s="16">
        <v>3</v>
      </c>
      <c r="F89" s="16">
        <v>3</v>
      </c>
      <c r="G89" s="16"/>
      <c r="H89" s="16"/>
      <c r="I89" s="16"/>
      <c r="J89" s="16"/>
      <c r="K89" s="16"/>
      <c r="L89" s="16"/>
      <c r="M89" s="16">
        <v>3</v>
      </c>
      <c r="N89" s="16">
        <v>3</v>
      </c>
      <c r="O89" s="16">
        <v>3</v>
      </c>
    </row>
    <row r="90" spans="1:15" ht="14.5" x14ac:dyDescent="0.35">
      <c r="A90" s="3" t="s">
        <v>80</v>
      </c>
      <c r="B90" s="9">
        <f t="shared" ref="B90:F90" si="23">AVERAGE(B85:B89)</f>
        <v>2.6</v>
      </c>
      <c r="C90" s="9">
        <f t="shared" si="23"/>
        <v>2.6</v>
      </c>
      <c r="D90" s="9">
        <f t="shared" si="23"/>
        <v>2.4</v>
      </c>
      <c r="E90" s="9">
        <f t="shared" si="23"/>
        <v>2.6</v>
      </c>
      <c r="F90" s="9">
        <f t="shared" si="23"/>
        <v>2.6</v>
      </c>
      <c r="G90" s="9"/>
      <c r="H90" s="9"/>
      <c r="I90" s="9"/>
      <c r="J90" s="9"/>
      <c r="K90" s="9"/>
      <c r="L90" s="9"/>
      <c r="M90" s="9">
        <f t="shared" ref="M90:O90" si="24">AVERAGE(M85:M89)</f>
        <v>3</v>
      </c>
      <c r="N90" s="9">
        <f t="shared" si="24"/>
        <v>2.6</v>
      </c>
      <c r="O90" s="9">
        <f t="shared" si="24"/>
        <v>2.4</v>
      </c>
    </row>
    <row r="91" spans="1:15" ht="14.5" x14ac:dyDescent="0.35">
      <c r="A91" s="12" t="s">
        <v>86</v>
      </c>
      <c r="B91" s="9" t="s">
        <v>2</v>
      </c>
      <c r="C91" s="9" t="s">
        <v>3</v>
      </c>
      <c r="D91" s="9" t="s">
        <v>4</v>
      </c>
      <c r="E91" s="9" t="s">
        <v>5</v>
      </c>
      <c r="F91" s="9" t="s">
        <v>6</v>
      </c>
      <c r="G91" s="9" t="s">
        <v>7</v>
      </c>
      <c r="H91" s="9" t="s">
        <v>8</v>
      </c>
      <c r="I91" s="9" t="s">
        <v>9</v>
      </c>
      <c r="J91" s="9" t="s">
        <v>10</v>
      </c>
      <c r="K91" s="9" t="s">
        <v>11</v>
      </c>
      <c r="L91" s="9" t="s">
        <v>12</v>
      </c>
      <c r="M91" s="9" t="s">
        <v>13</v>
      </c>
      <c r="N91" s="9" t="s">
        <v>14</v>
      </c>
      <c r="O91" s="9" t="s">
        <v>15</v>
      </c>
    </row>
    <row r="92" spans="1:15" ht="14.5" x14ac:dyDescent="0.35">
      <c r="A92" s="18" t="s">
        <v>87</v>
      </c>
      <c r="B92" s="16">
        <v>3</v>
      </c>
      <c r="C92" s="16">
        <v>3</v>
      </c>
      <c r="D92" s="16">
        <v>2</v>
      </c>
      <c r="E92" s="16">
        <v>3</v>
      </c>
      <c r="F92" s="16">
        <v>3</v>
      </c>
      <c r="G92" s="16"/>
      <c r="H92" s="16"/>
      <c r="I92" s="16"/>
      <c r="J92" s="16"/>
      <c r="K92" s="16"/>
      <c r="L92" s="16"/>
      <c r="M92" s="16">
        <v>3</v>
      </c>
      <c r="N92" s="16">
        <v>3</v>
      </c>
      <c r="O92" s="16">
        <v>2</v>
      </c>
    </row>
    <row r="93" spans="1:15" ht="14.5" x14ac:dyDescent="0.35">
      <c r="A93" s="13" t="s">
        <v>88</v>
      </c>
      <c r="B93" s="16">
        <v>3</v>
      </c>
      <c r="C93" s="16">
        <v>3</v>
      </c>
      <c r="D93" s="16">
        <v>2</v>
      </c>
      <c r="E93" s="16">
        <v>3</v>
      </c>
      <c r="F93" s="16">
        <v>3</v>
      </c>
      <c r="G93" s="16"/>
      <c r="H93" s="16"/>
      <c r="I93" s="16"/>
      <c r="J93" s="16"/>
      <c r="K93" s="16"/>
      <c r="L93" s="16"/>
      <c r="M93" s="16">
        <v>3</v>
      </c>
      <c r="N93" s="16">
        <v>3</v>
      </c>
      <c r="O93" s="16">
        <v>2</v>
      </c>
    </row>
    <row r="94" spans="1:15" ht="26" x14ac:dyDescent="0.35">
      <c r="A94" s="13" t="s">
        <v>89</v>
      </c>
      <c r="B94" s="16">
        <v>1</v>
      </c>
      <c r="C94" s="16">
        <v>1</v>
      </c>
      <c r="D94" s="16">
        <v>1</v>
      </c>
      <c r="E94" s="16">
        <v>1</v>
      </c>
      <c r="F94" s="16">
        <v>1</v>
      </c>
      <c r="G94" s="16"/>
      <c r="H94" s="16"/>
      <c r="I94" s="16"/>
      <c r="J94" s="16"/>
      <c r="K94" s="16"/>
      <c r="L94" s="16"/>
      <c r="M94" s="16">
        <v>3</v>
      </c>
      <c r="N94" s="16">
        <v>1</v>
      </c>
      <c r="O94" s="16">
        <v>1</v>
      </c>
    </row>
    <row r="95" spans="1:15" ht="14.5" x14ac:dyDescent="0.35">
      <c r="A95" s="13" t="s">
        <v>90</v>
      </c>
      <c r="B95" s="16">
        <v>3</v>
      </c>
      <c r="C95" s="16">
        <v>3</v>
      </c>
      <c r="D95" s="16">
        <v>2</v>
      </c>
      <c r="E95" s="16">
        <v>3</v>
      </c>
      <c r="F95" s="16">
        <v>3</v>
      </c>
      <c r="G95" s="16"/>
      <c r="H95" s="16"/>
      <c r="I95" s="16"/>
      <c r="J95" s="16"/>
      <c r="K95" s="16"/>
      <c r="L95" s="16"/>
      <c r="M95" s="16">
        <v>3</v>
      </c>
      <c r="N95" s="16">
        <v>3</v>
      </c>
      <c r="O95" s="16">
        <v>2</v>
      </c>
    </row>
    <row r="96" spans="1:15" ht="14.5" x14ac:dyDescent="0.35">
      <c r="A96" s="13" t="s">
        <v>91</v>
      </c>
      <c r="B96" s="16">
        <v>1</v>
      </c>
      <c r="C96" s="16">
        <v>1</v>
      </c>
      <c r="D96" s="16">
        <v>1</v>
      </c>
      <c r="E96" s="16">
        <v>1</v>
      </c>
      <c r="F96" s="16">
        <v>1</v>
      </c>
      <c r="G96" s="16"/>
      <c r="H96" s="16"/>
      <c r="I96" s="16"/>
      <c r="J96" s="16"/>
      <c r="K96" s="16"/>
      <c r="L96" s="16"/>
      <c r="M96" s="16">
        <v>3</v>
      </c>
      <c r="N96" s="16">
        <v>1</v>
      </c>
      <c r="O96" s="16">
        <v>1</v>
      </c>
    </row>
    <row r="97" spans="1:15" ht="14.5" x14ac:dyDescent="0.35">
      <c r="A97" s="12" t="s">
        <v>86</v>
      </c>
      <c r="B97" s="9">
        <f t="shared" ref="B97:F97" si="25">AVERAGE(B92:B96)</f>
        <v>2.2000000000000002</v>
      </c>
      <c r="C97" s="9">
        <f t="shared" si="25"/>
        <v>2.2000000000000002</v>
      </c>
      <c r="D97" s="9">
        <f t="shared" si="25"/>
        <v>1.6</v>
      </c>
      <c r="E97" s="9">
        <f t="shared" si="25"/>
        <v>2.2000000000000002</v>
      </c>
      <c r="F97" s="9">
        <f t="shared" si="25"/>
        <v>2.2000000000000002</v>
      </c>
      <c r="G97" s="9"/>
      <c r="H97" s="9"/>
      <c r="I97" s="9"/>
      <c r="J97" s="9"/>
      <c r="K97" s="9"/>
      <c r="L97" s="9"/>
      <c r="M97" s="9">
        <f t="shared" ref="M97:O97" si="26">AVERAGE(M92:M96)</f>
        <v>3</v>
      </c>
      <c r="N97" s="9">
        <f t="shared" si="26"/>
        <v>2.2000000000000002</v>
      </c>
      <c r="O97" s="9">
        <f t="shared" si="26"/>
        <v>1.6</v>
      </c>
    </row>
    <row r="98" spans="1:15" ht="14.5" x14ac:dyDescent="0.35">
      <c r="A98" s="12" t="s">
        <v>92</v>
      </c>
      <c r="B98" s="9" t="s">
        <v>2</v>
      </c>
      <c r="C98" s="9" t="s">
        <v>3</v>
      </c>
      <c r="D98" s="9" t="s">
        <v>4</v>
      </c>
      <c r="E98" s="9" t="s">
        <v>5</v>
      </c>
      <c r="F98" s="9" t="s">
        <v>6</v>
      </c>
      <c r="G98" s="9" t="s">
        <v>7</v>
      </c>
      <c r="H98" s="9" t="s">
        <v>8</v>
      </c>
      <c r="I98" s="9" t="s">
        <v>9</v>
      </c>
      <c r="J98" s="9" t="s">
        <v>10</v>
      </c>
      <c r="K98" s="9" t="s">
        <v>11</v>
      </c>
      <c r="L98" s="9" t="s">
        <v>12</v>
      </c>
      <c r="M98" s="9" t="s">
        <v>13</v>
      </c>
      <c r="N98" s="9" t="s">
        <v>14</v>
      </c>
      <c r="O98" s="9" t="s">
        <v>15</v>
      </c>
    </row>
    <row r="99" spans="1:15" ht="26" x14ac:dyDescent="0.35">
      <c r="A99" s="13" t="s">
        <v>93</v>
      </c>
      <c r="B99" s="16">
        <v>3</v>
      </c>
      <c r="C99" s="16">
        <v>3</v>
      </c>
      <c r="D99" s="16">
        <v>2</v>
      </c>
      <c r="E99" s="16">
        <v>3</v>
      </c>
      <c r="F99" s="16">
        <v>3</v>
      </c>
      <c r="G99" s="16"/>
      <c r="H99" s="16"/>
      <c r="I99" s="16"/>
      <c r="J99" s="16"/>
      <c r="K99" s="16"/>
      <c r="L99" s="16"/>
      <c r="M99" s="16">
        <v>3</v>
      </c>
      <c r="N99" s="16">
        <v>3</v>
      </c>
      <c r="O99" s="16">
        <v>2</v>
      </c>
    </row>
    <row r="100" spans="1:15" ht="14.5" x14ac:dyDescent="0.35">
      <c r="A100" s="13" t="s">
        <v>236</v>
      </c>
      <c r="B100" s="16">
        <v>3</v>
      </c>
      <c r="C100" s="16">
        <v>3</v>
      </c>
      <c r="D100" s="16">
        <v>2</v>
      </c>
      <c r="E100" s="16">
        <v>3</v>
      </c>
      <c r="F100" s="16">
        <v>3</v>
      </c>
      <c r="G100" s="16"/>
      <c r="H100" s="16"/>
      <c r="I100" s="16"/>
      <c r="J100" s="16"/>
      <c r="K100" s="16"/>
      <c r="L100" s="16"/>
      <c r="M100" s="16">
        <v>3</v>
      </c>
      <c r="N100" s="16">
        <v>3</v>
      </c>
      <c r="O100" s="16">
        <v>2</v>
      </c>
    </row>
    <row r="101" spans="1:15" ht="26" x14ac:dyDescent="0.35">
      <c r="A101" s="13" t="s">
        <v>94</v>
      </c>
      <c r="B101" s="16">
        <v>3</v>
      </c>
      <c r="C101" s="16">
        <v>3</v>
      </c>
      <c r="D101" s="16">
        <v>2</v>
      </c>
      <c r="E101" s="16">
        <v>3</v>
      </c>
      <c r="F101" s="16">
        <v>3</v>
      </c>
      <c r="G101" s="16"/>
      <c r="H101" s="16"/>
      <c r="I101" s="16"/>
      <c r="J101" s="16"/>
      <c r="K101" s="16"/>
      <c r="L101" s="16"/>
      <c r="M101" s="16">
        <v>3</v>
      </c>
      <c r="N101" s="16">
        <v>3</v>
      </c>
      <c r="O101" s="16">
        <v>2</v>
      </c>
    </row>
    <row r="102" spans="1:15" ht="14.5" x14ac:dyDescent="0.35">
      <c r="A102" s="13" t="s">
        <v>95</v>
      </c>
      <c r="B102" s="16">
        <v>3</v>
      </c>
      <c r="C102" s="16">
        <v>3</v>
      </c>
      <c r="D102" s="16">
        <v>2</v>
      </c>
      <c r="E102" s="16">
        <v>3</v>
      </c>
      <c r="F102" s="16">
        <v>3</v>
      </c>
      <c r="G102" s="16"/>
      <c r="H102" s="16"/>
      <c r="I102" s="16"/>
      <c r="J102" s="16"/>
      <c r="K102" s="16"/>
      <c r="L102" s="16"/>
      <c r="M102" s="16">
        <v>3</v>
      </c>
      <c r="N102" s="16">
        <v>3</v>
      </c>
      <c r="O102" s="16">
        <v>2</v>
      </c>
    </row>
    <row r="103" spans="1:15" ht="14.5" x14ac:dyDescent="0.35">
      <c r="A103" s="13" t="s">
        <v>237</v>
      </c>
      <c r="B103" s="16">
        <v>3</v>
      </c>
      <c r="C103" s="16">
        <v>3</v>
      </c>
      <c r="D103" s="16">
        <v>3</v>
      </c>
      <c r="E103" s="16">
        <v>3</v>
      </c>
      <c r="F103" s="16">
        <v>3</v>
      </c>
      <c r="G103" s="16"/>
      <c r="H103" s="16"/>
      <c r="I103" s="16"/>
      <c r="J103" s="16"/>
      <c r="K103" s="16"/>
      <c r="L103" s="16"/>
      <c r="M103" s="16">
        <v>3</v>
      </c>
      <c r="N103" s="16">
        <v>3</v>
      </c>
      <c r="O103" s="16">
        <v>3</v>
      </c>
    </row>
    <row r="104" spans="1:15" ht="14.5" x14ac:dyDescent="0.35">
      <c r="A104" s="12" t="s">
        <v>92</v>
      </c>
      <c r="B104" s="9">
        <f t="shared" ref="B104:F104" si="27">AVERAGE(B99:B103)</f>
        <v>3</v>
      </c>
      <c r="C104" s="9">
        <f t="shared" si="27"/>
        <v>3</v>
      </c>
      <c r="D104" s="9">
        <f t="shared" si="27"/>
        <v>2.2000000000000002</v>
      </c>
      <c r="E104" s="9">
        <f t="shared" si="27"/>
        <v>3</v>
      </c>
      <c r="F104" s="9">
        <f t="shared" si="27"/>
        <v>3</v>
      </c>
      <c r="G104" s="9"/>
      <c r="H104" s="9"/>
      <c r="I104" s="9"/>
      <c r="J104" s="9"/>
      <c r="K104" s="9"/>
      <c r="L104" s="9"/>
      <c r="M104" s="9">
        <f t="shared" ref="M104:O104" si="28">AVERAGE(M99:M103)</f>
        <v>3</v>
      </c>
      <c r="N104" s="9">
        <f t="shared" si="28"/>
        <v>3</v>
      </c>
      <c r="O104" s="9">
        <f t="shared" si="28"/>
        <v>2.2000000000000002</v>
      </c>
    </row>
    <row r="105" spans="1:15" ht="14.5" x14ac:dyDescent="0.35">
      <c r="A105" s="12" t="s">
        <v>96</v>
      </c>
      <c r="B105" s="9" t="s">
        <v>2</v>
      </c>
      <c r="C105" s="9" t="s">
        <v>3</v>
      </c>
      <c r="D105" s="9" t="s">
        <v>4</v>
      </c>
      <c r="E105" s="9" t="s">
        <v>5</v>
      </c>
      <c r="F105" s="9" t="s">
        <v>6</v>
      </c>
      <c r="G105" s="9" t="s">
        <v>7</v>
      </c>
      <c r="H105" s="9" t="s">
        <v>8</v>
      </c>
      <c r="I105" s="9" t="s">
        <v>9</v>
      </c>
      <c r="J105" s="9" t="s">
        <v>10</v>
      </c>
      <c r="K105" s="9" t="s">
        <v>11</v>
      </c>
      <c r="L105" s="9" t="s">
        <v>12</v>
      </c>
      <c r="M105" s="9" t="s">
        <v>13</v>
      </c>
      <c r="N105" s="9" t="s">
        <v>14</v>
      </c>
      <c r="O105" s="9" t="s">
        <v>15</v>
      </c>
    </row>
    <row r="106" spans="1:15" ht="14.5" x14ac:dyDescent="0.35">
      <c r="A106" s="13" t="s">
        <v>97</v>
      </c>
      <c r="B106" s="16">
        <v>3</v>
      </c>
      <c r="C106" s="16">
        <v>3</v>
      </c>
      <c r="D106" s="16">
        <v>2</v>
      </c>
      <c r="E106" s="16">
        <v>3</v>
      </c>
      <c r="F106" s="16">
        <v>3</v>
      </c>
      <c r="G106" s="16"/>
      <c r="H106" s="16"/>
      <c r="I106" s="16"/>
      <c r="J106" s="16"/>
      <c r="K106" s="16"/>
      <c r="L106" s="16"/>
      <c r="M106" s="16">
        <v>3</v>
      </c>
      <c r="N106" s="16">
        <v>3</v>
      </c>
      <c r="O106" s="16">
        <v>2</v>
      </c>
    </row>
    <row r="107" spans="1:15" ht="14.5" x14ac:dyDescent="0.35">
      <c r="A107" s="13" t="s">
        <v>98</v>
      </c>
      <c r="B107" s="16">
        <v>3</v>
      </c>
      <c r="C107" s="16">
        <v>3</v>
      </c>
      <c r="D107" s="16">
        <v>2</v>
      </c>
      <c r="E107" s="16">
        <v>3</v>
      </c>
      <c r="F107" s="16">
        <v>3</v>
      </c>
      <c r="G107" s="16"/>
      <c r="H107" s="16"/>
      <c r="I107" s="16"/>
      <c r="J107" s="16"/>
      <c r="K107" s="16"/>
      <c r="L107" s="16"/>
      <c r="M107" s="16">
        <v>3</v>
      </c>
      <c r="N107" s="16">
        <v>3</v>
      </c>
      <c r="O107" s="16">
        <v>2</v>
      </c>
    </row>
    <row r="108" spans="1:15" ht="14.5" x14ac:dyDescent="0.35">
      <c r="A108" s="13" t="s">
        <v>99</v>
      </c>
      <c r="B108" s="16">
        <v>3</v>
      </c>
      <c r="C108" s="16">
        <v>3</v>
      </c>
      <c r="D108" s="16">
        <v>3</v>
      </c>
      <c r="E108" s="16">
        <v>3</v>
      </c>
      <c r="F108" s="16">
        <v>3</v>
      </c>
      <c r="G108" s="16"/>
      <c r="H108" s="16"/>
      <c r="I108" s="16"/>
      <c r="J108" s="16"/>
      <c r="K108" s="16"/>
      <c r="L108" s="16"/>
      <c r="M108" s="16">
        <v>3</v>
      </c>
      <c r="N108" s="16">
        <v>3</v>
      </c>
      <c r="O108" s="16">
        <v>3</v>
      </c>
    </row>
    <row r="109" spans="1:15" ht="14.5" x14ac:dyDescent="0.35">
      <c r="A109" s="13" t="s">
        <v>100</v>
      </c>
      <c r="B109" s="16">
        <v>3</v>
      </c>
      <c r="C109" s="16">
        <v>3</v>
      </c>
      <c r="D109" s="16">
        <v>2</v>
      </c>
      <c r="E109" s="16">
        <v>3</v>
      </c>
      <c r="F109" s="16">
        <v>3</v>
      </c>
      <c r="G109" s="16"/>
      <c r="H109" s="16"/>
      <c r="I109" s="16"/>
      <c r="J109" s="16"/>
      <c r="K109" s="16"/>
      <c r="L109" s="16"/>
      <c r="M109" s="16">
        <v>3</v>
      </c>
      <c r="N109" s="16">
        <v>3</v>
      </c>
      <c r="O109" s="16">
        <v>2</v>
      </c>
    </row>
    <row r="110" spans="1:15" ht="14.5" x14ac:dyDescent="0.35">
      <c r="A110" s="13" t="s">
        <v>238</v>
      </c>
      <c r="B110" s="16">
        <v>3</v>
      </c>
      <c r="C110" s="16">
        <v>3</v>
      </c>
      <c r="D110" s="16">
        <v>3</v>
      </c>
      <c r="E110" s="16">
        <v>3</v>
      </c>
      <c r="F110" s="16">
        <v>3</v>
      </c>
      <c r="G110" s="16"/>
      <c r="H110" s="16"/>
      <c r="I110" s="16"/>
      <c r="J110" s="16"/>
      <c r="K110" s="16"/>
      <c r="L110" s="16"/>
      <c r="M110" s="16">
        <v>3</v>
      </c>
      <c r="N110" s="16">
        <v>3</v>
      </c>
      <c r="O110" s="16">
        <v>3</v>
      </c>
    </row>
    <row r="111" spans="1:15" ht="14.5" x14ac:dyDescent="0.35">
      <c r="A111" s="12" t="s">
        <v>96</v>
      </c>
      <c r="B111" s="9">
        <f t="shared" ref="B111:F111" si="29">AVERAGE(B106:B110)</f>
        <v>3</v>
      </c>
      <c r="C111" s="9">
        <f t="shared" si="29"/>
        <v>3</v>
      </c>
      <c r="D111" s="9">
        <f t="shared" si="29"/>
        <v>2.4</v>
      </c>
      <c r="E111" s="9">
        <f t="shared" si="29"/>
        <v>3</v>
      </c>
      <c r="F111" s="9">
        <f t="shared" si="29"/>
        <v>3</v>
      </c>
      <c r="G111" s="9"/>
      <c r="H111" s="9"/>
      <c r="I111" s="9"/>
      <c r="J111" s="9"/>
      <c r="K111" s="9"/>
      <c r="L111" s="9"/>
      <c r="M111" s="9">
        <f t="shared" ref="M111:O111" si="30">AVERAGE(M106:M110)</f>
        <v>3</v>
      </c>
      <c r="N111" s="9">
        <f t="shared" si="30"/>
        <v>3</v>
      </c>
      <c r="O111" s="9">
        <f t="shared" si="30"/>
        <v>2.4</v>
      </c>
    </row>
    <row r="112" spans="1:15" ht="14.5" x14ac:dyDescent="0.35">
      <c r="A112" s="12" t="s">
        <v>101</v>
      </c>
      <c r="B112" s="9" t="s">
        <v>2</v>
      </c>
      <c r="C112" s="9" t="s">
        <v>3</v>
      </c>
      <c r="D112" s="9" t="s">
        <v>4</v>
      </c>
      <c r="E112" s="9" t="s">
        <v>5</v>
      </c>
      <c r="F112" s="9" t="s">
        <v>6</v>
      </c>
      <c r="G112" s="9" t="s">
        <v>7</v>
      </c>
      <c r="H112" s="9" t="s">
        <v>8</v>
      </c>
      <c r="I112" s="9" t="s">
        <v>9</v>
      </c>
      <c r="J112" s="9" t="s">
        <v>10</v>
      </c>
      <c r="K112" s="9" t="s">
        <v>11</v>
      </c>
      <c r="L112" s="9" t="s">
        <v>12</v>
      </c>
      <c r="M112" s="9" t="s">
        <v>13</v>
      </c>
      <c r="N112" s="9" t="s">
        <v>14</v>
      </c>
      <c r="O112" s="9" t="s">
        <v>15</v>
      </c>
    </row>
    <row r="113" spans="1:15" ht="14.5" x14ac:dyDescent="0.35">
      <c r="A113" s="13" t="s">
        <v>102</v>
      </c>
      <c r="B113" s="16">
        <v>3</v>
      </c>
      <c r="C113" s="16">
        <v>3</v>
      </c>
      <c r="D113" s="16">
        <v>2</v>
      </c>
      <c r="E113" s="16">
        <v>3</v>
      </c>
      <c r="F113" s="16">
        <v>3</v>
      </c>
      <c r="G113" s="16"/>
      <c r="H113" s="16"/>
      <c r="I113" s="16"/>
      <c r="J113" s="16"/>
      <c r="K113" s="16"/>
      <c r="L113" s="16"/>
      <c r="M113" s="16">
        <v>3</v>
      </c>
      <c r="N113" s="16">
        <v>3</v>
      </c>
      <c r="O113" s="16">
        <v>2</v>
      </c>
    </row>
    <row r="114" spans="1:15" ht="14.5" x14ac:dyDescent="0.35">
      <c r="A114" s="13" t="s">
        <v>103</v>
      </c>
      <c r="B114" s="16">
        <v>3</v>
      </c>
      <c r="C114" s="16">
        <v>3</v>
      </c>
      <c r="D114" s="16">
        <v>2</v>
      </c>
      <c r="E114" s="16">
        <v>3</v>
      </c>
      <c r="F114" s="16">
        <v>3</v>
      </c>
      <c r="G114" s="16"/>
      <c r="H114" s="16"/>
      <c r="I114" s="16"/>
      <c r="J114" s="16"/>
      <c r="K114" s="16"/>
      <c r="L114" s="16"/>
      <c r="M114" s="16">
        <v>3</v>
      </c>
      <c r="N114" s="16">
        <v>3</v>
      </c>
      <c r="O114" s="16">
        <v>2</v>
      </c>
    </row>
    <row r="115" spans="1:15" ht="14.5" x14ac:dyDescent="0.35">
      <c r="A115" s="13" t="s">
        <v>104</v>
      </c>
      <c r="B115" s="16">
        <v>3</v>
      </c>
      <c r="C115" s="16">
        <v>3</v>
      </c>
      <c r="D115" s="16">
        <v>2</v>
      </c>
      <c r="E115" s="16">
        <v>3</v>
      </c>
      <c r="F115" s="16">
        <v>3</v>
      </c>
      <c r="G115" s="16"/>
      <c r="H115" s="16"/>
      <c r="I115" s="16"/>
      <c r="J115" s="16"/>
      <c r="K115" s="16"/>
      <c r="L115" s="16"/>
      <c r="M115" s="16">
        <v>3</v>
      </c>
      <c r="N115" s="16">
        <v>3</v>
      </c>
      <c r="O115" s="16">
        <v>2</v>
      </c>
    </row>
    <row r="116" spans="1:15" ht="14.5" x14ac:dyDescent="0.35">
      <c r="A116" s="13" t="s">
        <v>239</v>
      </c>
      <c r="B116" s="16">
        <v>3</v>
      </c>
      <c r="C116" s="16">
        <v>3</v>
      </c>
      <c r="D116" s="16">
        <v>2</v>
      </c>
      <c r="E116" s="16">
        <v>3</v>
      </c>
      <c r="F116" s="16">
        <v>3</v>
      </c>
      <c r="G116" s="16"/>
      <c r="H116" s="16"/>
      <c r="I116" s="16"/>
      <c r="J116" s="16"/>
      <c r="K116" s="16"/>
      <c r="L116" s="16"/>
      <c r="M116" s="16">
        <v>3</v>
      </c>
      <c r="N116" s="16">
        <v>3</v>
      </c>
      <c r="O116" s="16">
        <v>2</v>
      </c>
    </row>
    <row r="117" spans="1:15" ht="14.5" x14ac:dyDescent="0.35">
      <c r="A117" s="13" t="s">
        <v>105</v>
      </c>
      <c r="B117" s="16">
        <v>3</v>
      </c>
      <c r="C117" s="16">
        <v>3</v>
      </c>
      <c r="D117" s="16">
        <v>3</v>
      </c>
      <c r="E117" s="16">
        <v>3</v>
      </c>
      <c r="F117" s="16">
        <v>3</v>
      </c>
      <c r="G117" s="16"/>
      <c r="H117" s="16"/>
      <c r="I117" s="16"/>
      <c r="J117" s="16"/>
      <c r="K117" s="16"/>
      <c r="L117" s="16"/>
      <c r="M117" s="16">
        <v>3</v>
      </c>
      <c r="N117" s="16">
        <v>3</v>
      </c>
      <c r="O117" s="16">
        <v>3</v>
      </c>
    </row>
    <row r="118" spans="1:15" ht="14.5" x14ac:dyDescent="0.35">
      <c r="A118" s="12" t="s">
        <v>101</v>
      </c>
      <c r="B118" s="9">
        <f t="shared" ref="B118:F118" si="31">AVERAGE(B113:B117)</f>
        <v>3</v>
      </c>
      <c r="C118" s="9">
        <f t="shared" si="31"/>
        <v>3</v>
      </c>
      <c r="D118" s="9">
        <f t="shared" si="31"/>
        <v>2.2000000000000002</v>
      </c>
      <c r="E118" s="9">
        <f t="shared" si="31"/>
        <v>3</v>
      </c>
      <c r="F118" s="9">
        <f t="shared" si="31"/>
        <v>3</v>
      </c>
      <c r="G118" s="9"/>
      <c r="H118" s="9"/>
      <c r="I118" s="9"/>
      <c r="J118" s="9"/>
      <c r="K118" s="9"/>
      <c r="L118" s="9"/>
      <c r="M118" s="9">
        <f t="shared" ref="M118:O118" si="32">AVERAGE(M113:M117)</f>
        <v>3</v>
      </c>
      <c r="N118" s="9">
        <f t="shared" si="32"/>
        <v>3</v>
      </c>
      <c r="O118" s="9">
        <f t="shared" si="32"/>
        <v>2.2000000000000002</v>
      </c>
    </row>
    <row r="119" spans="1:15" ht="14.5" x14ac:dyDescent="0.35">
      <c r="A119" s="12" t="s">
        <v>106</v>
      </c>
      <c r="B119" s="9" t="s">
        <v>2</v>
      </c>
      <c r="C119" s="9" t="s">
        <v>3</v>
      </c>
      <c r="D119" s="9" t="s">
        <v>4</v>
      </c>
      <c r="E119" s="9" t="s">
        <v>5</v>
      </c>
      <c r="F119" s="9" t="s">
        <v>6</v>
      </c>
      <c r="G119" s="9" t="s">
        <v>7</v>
      </c>
      <c r="H119" s="9" t="s">
        <v>8</v>
      </c>
      <c r="I119" s="9" t="s">
        <v>9</v>
      </c>
      <c r="J119" s="9" t="s">
        <v>10</v>
      </c>
      <c r="K119" s="9" t="s">
        <v>11</v>
      </c>
      <c r="L119" s="9" t="s">
        <v>12</v>
      </c>
      <c r="M119" s="9" t="s">
        <v>13</v>
      </c>
      <c r="N119" s="9" t="s">
        <v>14</v>
      </c>
      <c r="O119" s="9" t="s">
        <v>15</v>
      </c>
    </row>
    <row r="120" spans="1:15" ht="14.5" x14ac:dyDescent="0.35">
      <c r="A120" s="10" t="s">
        <v>244</v>
      </c>
      <c r="B120" s="5">
        <v>3</v>
      </c>
      <c r="C120" s="5">
        <v>3</v>
      </c>
      <c r="D120" s="5">
        <v>2</v>
      </c>
      <c r="E120" s="5">
        <v>3</v>
      </c>
      <c r="F120" s="5">
        <v>3</v>
      </c>
      <c r="G120" s="11"/>
      <c r="H120" s="11"/>
      <c r="I120" s="11"/>
      <c r="J120" s="11"/>
      <c r="K120" s="11"/>
      <c r="L120" s="11"/>
      <c r="M120" s="5">
        <v>3</v>
      </c>
      <c r="N120" s="5">
        <v>2</v>
      </c>
      <c r="O120" s="5">
        <v>2</v>
      </c>
    </row>
    <row r="121" spans="1:15" ht="14.5" x14ac:dyDescent="0.35">
      <c r="A121" s="11" t="s">
        <v>107</v>
      </c>
      <c r="B121" s="5">
        <v>3</v>
      </c>
      <c r="C121" s="5">
        <v>3</v>
      </c>
      <c r="D121" s="5">
        <v>2</v>
      </c>
      <c r="E121" s="5">
        <v>3</v>
      </c>
      <c r="F121" s="5">
        <v>3</v>
      </c>
      <c r="G121" s="11"/>
      <c r="H121" s="11"/>
      <c r="I121" s="11"/>
      <c r="J121" s="11"/>
      <c r="K121" s="11"/>
      <c r="L121" s="11"/>
      <c r="M121" s="5">
        <v>3</v>
      </c>
      <c r="N121" s="5">
        <v>2</v>
      </c>
      <c r="O121" s="5">
        <v>2</v>
      </c>
    </row>
    <row r="122" spans="1:15" ht="14.5" x14ac:dyDescent="0.35">
      <c r="A122" s="11" t="s">
        <v>108</v>
      </c>
      <c r="B122" s="5">
        <v>3</v>
      </c>
      <c r="C122" s="5">
        <v>3</v>
      </c>
      <c r="D122" s="5">
        <v>2</v>
      </c>
      <c r="E122" s="5">
        <v>3</v>
      </c>
      <c r="F122" s="5">
        <v>3</v>
      </c>
      <c r="G122" s="11"/>
      <c r="H122" s="11"/>
      <c r="I122" s="11"/>
      <c r="J122" s="11"/>
      <c r="K122" s="11"/>
      <c r="L122" s="11"/>
      <c r="M122" s="5">
        <v>3</v>
      </c>
      <c r="N122" s="5">
        <v>2</v>
      </c>
      <c r="O122" s="5">
        <v>2</v>
      </c>
    </row>
    <row r="123" spans="1:15" ht="14.5" x14ac:dyDescent="0.35">
      <c r="A123" s="4" t="s">
        <v>109</v>
      </c>
      <c r="B123" s="5">
        <v>3</v>
      </c>
      <c r="C123" s="5">
        <v>3</v>
      </c>
      <c r="D123" s="5">
        <v>2</v>
      </c>
      <c r="E123" s="5">
        <v>3</v>
      </c>
      <c r="F123" s="5">
        <v>3</v>
      </c>
      <c r="G123" s="11"/>
      <c r="H123" s="11"/>
      <c r="I123" s="11"/>
      <c r="J123" s="11"/>
      <c r="K123" s="11"/>
      <c r="L123" s="11"/>
      <c r="M123" s="5">
        <v>3</v>
      </c>
      <c r="N123" s="5">
        <v>2</v>
      </c>
      <c r="O123" s="5">
        <v>2</v>
      </c>
    </row>
    <row r="124" spans="1:15" ht="14.5" x14ac:dyDescent="0.35">
      <c r="A124" s="13" t="s">
        <v>245</v>
      </c>
      <c r="B124" s="5">
        <v>3</v>
      </c>
      <c r="C124" s="5">
        <v>3</v>
      </c>
      <c r="D124" s="5">
        <v>2</v>
      </c>
      <c r="E124" s="5">
        <v>3</v>
      </c>
      <c r="F124" s="5">
        <v>3</v>
      </c>
      <c r="G124" s="11"/>
      <c r="H124" s="11"/>
      <c r="I124" s="11"/>
      <c r="J124" s="11"/>
      <c r="K124" s="11"/>
      <c r="L124" s="11"/>
      <c r="M124" s="5">
        <v>3</v>
      </c>
      <c r="N124" s="5">
        <v>2</v>
      </c>
      <c r="O124" s="5">
        <v>2</v>
      </c>
    </row>
    <row r="125" spans="1:15" ht="14.5" x14ac:dyDescent="0.35">
      <c r="A125" s="12" t="s">
        <v>106</v>
      </c>
      <c r="B125" s="9">
        <f t="shared" ref="B125:F125" si="33">AVERAGE(B120:B124)</f>
        <v>3</v>
      </c>
      <c r="C125" s="9">
        <f t="shared" si="33"/>
        <v>3</v>
      </c>
      <c r="D125" s="9">
        <f t="shared" si="33"/>
        <v>2</v>
      </c>
      <c r="E125" s="9">
        <f t="shared" si="33"/>
        <v>3</v>
      </c>
      <c r="F125" s="9">
        <f t="shared" si="33"/>
        <v>3</v>
      </c>
      <c r="G125" s="9"/>
      <c r="H125" s="9"/>
      <c r="I125" s="9"/>
      <c r="J125" s="9"/>
      <c r="K125" s="9"/>
      <c r="L125" s="9"/>
      <c r="M125" s="9">
        <f t="shared" ref="M125:O125" si="34">AVERAGE(M120:M124)</f>
        <v>3</v>
      </c>
      <c r="N125" s="9">
        <f t="shared" si="34"/>
        <v>2</v>
      </c>
      <c r="O125" s="9">
        <f t="shared" si="34"/>
        <v>2</v>
      </c>
    </row>
    <row r="126" spans="1:15" ht="14.5" x14ac:dyDescent="0.35"/>
    <row r="127" spans="1:15" ht="14.5" x14ac:dyDescent="0.35"/>
    <row r="128" spans="1:15"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O1"/>
  </mergeCells>
  <pageMargins left="0.25" right="0.25" top="0.75" bottom="0.75" header="0.3" footer="0.3"/>
  <pageSetup paperSize="9" scale="90" fitToHeight="0" orientation="landscape" r:id="rId1"/>
  <rowBreaks count="4" manualBreakCount="4">
    <brk id="23" max="16383" man="1"/>
    <brk id="57" max="16383" man="1"/>
    <brk id="83" max="16383" man="1"/>
    <brk id="111"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tabSelected="1" view="pageBreakPreview" topLeftCell="A87" zoomScaleNormal="100" zoomScaleSheetLayoutView="100" workbookViewId="0">
      <selection activeCell="B98" sqref="B98"/>
    </sheetView>
  </sheetViews>
  <sheetFormatPr defaultColWidth="14.453125" defaultRowHeight="15" customHeight="1" x14ac:dyDescent="0.3"/>
  <cols>
    <col min="1" max="1" width="60.1796875" style="42" customWidth="1"/>
    <col min="2" max="10" width="6.26953125" style="26" customWidth="1"/>
    <col min="11" max="15" width="7.81640625" style="26" customWidth="1"/>
    <col min="16" max="26" width="8.7265625" style="26" customWidth="1"/>
    <col min="27" max="16384" width="14.453125" style="26"/>
  </cols>
  <sheetData>
    <row r="1" spans="1:26" ht="13" x14ac:dyDescent="0.3">
      <c r="A1" s="58"/>
      <c r="B1" s="59"/>
      <c r="C1" s="59"/>
      <c r="D1" s="59"/>
      <c r="E1" s="59"/>
      <c r="F1" s="59"/>
      <c r="G1" s="59"/>
      <c r="H1" s="59"/>
      <c r="I1" s="59"/>
      <c r="J1" s="59"/>
      <c r="K1" s="59"/>
      <c r="L1" s="59"/>
      <c r="M1" s="59"/>
      <c r="N1" s="59"/>
      <c r="O1" s="59"/>
    </row>
    <row r="2" spans="1:26" ht="13" x14ac:dyDescent="0.3">
      <c r="A2" s="27"/>
      <c r="B2" s="28"/>
      <c r="C2" s="28"/>
      <c r="D2" s="28"/>
      <c r="E2" s="28"/>
      <c r="F2" s="28"/>
      <c r="G2" s="28"/>
      <c r="H2" s="28"/>
      <c r="I2" s="28"/>
      <c r="J2" s="28"/>
      <c r="K2" s="28"/>
      <c r="L2" s="28"/>
      <c r="M2" s="28"/>
      <c r="N2" s="28"/>
      <c r="O2" s="28"/>
    </row>
    <row r="3" spans="1:26" ht="13" x14ac:dyDescent="0.3">
      <c r="A3" s="8" t="s">
        <v>251</v>
      </c>
      <c r="B3" s="4" t="s">
        <v>2</v>
      </c>
      <c r="C3" s="4" t="s">
        <v>3</v>
      </c>
      <c r="D3" s="4" t="s">
        <v>4</v>
      </c>
      <c r="E3" s="4" t="s">
        <v>5</v>
      </c>
      <c r="F3" s="4" t="s">
        <v>6</v>
      </c>
      <c r="G3" s="4" t="s">
        <v>7</v>
      </c>
      <c r="H3" s="4" t="s">
        <v>8</v>
      </c>
      <c r="I3" s="4" t="s">
        <v>9</v>
      </c>
      <c r="J3" s="4" t="s">
        <v>10</v>
      </c>
      <c r="K3" s="4" t="s">
        <v>11</v>
      </c>
      <c r="L3" s="4" t="s">
        <v>12</v>
      </c>
      <c r="M3" s="4" t="s">
        <v>13</v>
      </c>
      <c r="N3" s="4" t="s">
        <v>14</v>
      </c>
      <c r="O3" s="4" t="s">
        <v>15</v>
      </c>
    </row>
    <row r="4" spans="1:26" ht="26" x14ac:dyDescent="0.3">
      <c r="A4" s="4" t="s">
        <v>110</v>
      </c>
      <c r="B4" s="4">
        <v>1</v>
      </c>
      <c r="C4" s="4">
        <v>1</v>
      </c>
      <c r="D4" s="4">
        <v>1</v>
      </c>
      <c r="E4" s="4">
        <v>1</v>
      </c>
      <c r="F4" s="4">
        <v>1</v>
      </c>
      <c r="G4" s="4"/>
      <c r="H4" s="4"/>
      <c r="I4" s="4"/>
      <c r="J4" s="4"/>
      <c r="K4" s="4"/>
      <c r="L4" s="4"/>
      <c r="M4" s="4">
        <v>3</v>
      </c>
      <c r="N4" s="4">
        <v>1</v>
      </c>
      <c r="O4" s="4">
        <v>1</v>
      </c>
    </row>
    <row r="5" spans="1:26" ht="26" x14ac:dyDescent="0.3">
      <c r="A5" s="4" t="s">
        <v>111</v>
      </c>
      <c r="B5" s="4">
        <v>3</v>
      </c>
      <c r="C5" s="4">
        <v>3</v>
      </c>
      <c r="D5" s="4">
        <v>2</v>
      </c>
      <c r="E5" s="4">
        <v>3</v>
      </c>
      <c r="F5" s="4">
        <v>3</v>
      </c>
      <c r="G5" s="4"/>
      <c r="H5" s="4"/>
      <c r="I5" s="4"/>
      <c r="J5" s="4"/>
      <c r="K5" s="4"/>
      <c r="L5" s="4"/>
      <c r="M5" s="4">
        <v>3</v>
      </c>
      <c r="N5" s="4">
        <v>3</v>
      </c>
      <c r="O5" s="4">
        <v>2</v>
      </c>
    </row>
    <row r="6" spans="1:26" ht="26" x14ac:dyDescent="0.3">
      <c r="A6" s="4" t="s">
        <v>112</v>
      </c>
      <c r="B6" s="4">
        <v>3</v>
      </c>
      <c r="C6" s="4">
        <v>3</v>
      </c>
      <c r="D6" s="4">
        <v>2</v>
      </c>
      <c r="E6" s="4">
        <v>3</v>
      </c>
      <c r="F6" s="4">
        <v>3</v>
      </c>
      <c r="G6" s="4"/>
      <c r="H6" s="4"/>
      <c r="I6" s="4"/>
      <c r="J6" s="4"/>
      <c r="K6" s="4"/>
      <c r="L6" s="4"/>
      <c r="M6" s="4">
        <v>3</v>
      </c>
      <c r="N6" s="4">
        <v>3</v>
      </c>
      <c r="O6" s="4">
        <v>2</v>
      </c>
    </row>
    <row r="7" spans="1:26" ht="26" x14ac:dyDescent="0.3">
      <c r="A7" s="4" t="s">
        <v>113</v>
      </c>
      <c r="B7" s="4">
        <v>3</v>
      </c>
      <c r="C7" s="4">
        <v>3</v>
      </c>
      <c r="D7" s="4">
        <v>3</v>
      </c>
      <c r="E7" s="4">
        <v>3</v>
      </c>
      <c r="F7" s="4">
        <v>3</v>
      </c>
      <c r="G7" s="4"/>
      <c r="H7" s="4"/>
      <c r="I7" s="4"/>
      <c r="J7" s="4"/>
      <c r="K7" s="4"/>
      <c r="L7" s="4"/>
      <c r="M7" s="4">
        <v>3</v>
      </c>
      <c r="N7" s="4">
        <v>3</v>
      </c>
      <c r="O7" s="4">
        <v>3</v>
      </c>
    </row>
    <row r="8" spans="1:26" ht="26" x14ac:dyDescent="0.3">
      <c r="A8" s="4" t="s">
        <v>114</v>
      </c>
      <c r="B8" s="4">
        <v>3</v>
      </c>
      <c r="C8" s="4">
        <v>3</v>
      </c>
      <c r="D8" s="4">
        <v>2</v>
      </c>
      <c r="E8" s="4">
        <v>3</v>
      </c>
      <c r="F8" s="4">
        <v>3</v>
      </c>
      <c r="G8" s="4"/>
      <c r="H8" s="4"/>
      <c r="I8" s="4"/>
      <c r="J8" s="4"/>
      <c r="K8" s="4"/>
      <c r="L8" s="4"/>
      <c r="M8" s="4">
        <v>3</v>
      </c>
      <c r="N8" s="4">
        <v>3</v>
      </c>
      <c r="O8" s="4">
        <v>2</v>
      </c>
    </row>
    <row r="9" spans="1:26" ht="13" x14ac:dyDescent="0.3">
      <c r="A9" s="8" t="s">
        <v>251</v>
      </c>
      <c r="B9" s="4">
        <v>2.6</v>
      </c>
      <c r="C9" s="4">
        <v>2.6</v>
      </c>
      <c r="D9" s="4">
        <v>2</v>
      </c>
      <c r="E9" s="4">
        <v>2.6</v>
      </c>
      <c r="F9" s="4">
        <v>2.6</v>
      </c>
      <c r="G9" s="4"/>
      <c r="H9" s="4"/>
      <c r="I9" s="4"/>
      <c r="J9" s="4"/>
      <c r="K9" s="4"/>
      <c r="L9" s="4"/>
      <c r="M9" s="4">
        <v>3</v>
      </c>
      <c r="N9" s="4">
        <v>2.6</v>
      </c>
      <c r="O9" s="4">
        <v>2</v>
      </c>
      <c r="P9" s="29"/>
      <c r="Q9" s="29"/>
      <c r="R9" s="29"/>
      <c r="S9" s="29"/>
      <c r="T9" s="29"/>
      <c r="U9" s="29"/>
      <c r="V9" s="29"/>
      <c r="W9" s="29"/>
      <c r="X9" s="29"/>
      <c r="Y9" s="29"/>
      <c r="Z9" s="29"/>
    </row>
    <row r="10" spans="1:26" ht="13" x14ac:dyDescent="0.3">
      <c r="A10" s="8" t="s">
        <v>252</v>
      </c>
      <c r="B10" s="4" t="s">
        <v>2</v>
      </c>
      <c r="C10" s="4" t="s">
        <v>3</v>
      </c>
      <c r="D10" s="4" t="s">
        <v>4</v>
      </c>
      <c r="E10" s="4" t="s">
        <v>5</v>
      </c>
      <c r="F10" s="4" t="s">
        <v>6</v>
      </c>
      <c r="G10" s="4" t="s">
        <v>7</v>
      </c>
      <c r="H10" s="4" t="s">
        <v>8</v>
      </c>
      <c r="I10" s="4" t="s">
        <v>9</v>
      </c>
      <c r="J10" s="4" t="s">
        <v>10</v>
      </c>
      <c r="K10" s="4" t="s">
        <v>11</v>
      </c>
      <c r="L10" s="4" t="s">
        <v>12</v>
      </c>
      <c r="M10" s="4" t="s">
        <v>13</v>
      </c>
      <c r="N10" s="4" t="s">
        <v>14</v>
      </c>
      <c r="O10" s="4" t="s">
        <v>15</v>
      </c>
    </row>
    <row r="11" spans="1:26" ht="26" x14ac:dyDescent="0.3">
      <c r="A11" s="4" t="s">
        <v>115</v>
      </c>
      <c r="B11" s="4">
        <v>3</v>
      </c>
      <c r="C11" s="4">
        <v>3</v>
      </c>
      <c r="D11" s="4">
        <v>2</v>
      </c>
      <c r="E11" s="4">
        <v>3</v>
      </c>
      <c r="F11" s="4">
        <v>3</v>
      </c>
      <c r="G11" s="4"/>
      <c r="H11" s="4"/>
      <c r="I11" s="4"/>
      <c r="J11" s="4"/>
      <c r="K11" s="4"/>
      <c r="L11" s="4"/>
      <c r="M11" s="4">
        <v>3</v>
      </c>
      <c r="N11" s="4">
        <v>3</v>
      </c>
      <c r="O11" s="4">
        <v>2</v>
      </c>
    </row>
    <row r="12" spans="1:26" ht="13" x14ac:dyDescent="0.3">
      <c r="A12" s="4" t="s">
        <v>116</v>
      </c>
      <c r="B12" s="4">
        <v>3</v>
      </c>
      <c r="C12" s="4">
        <v>3</v>
      </c>
      <c r="D12" s="4">
        <v>2</v>
      </c>
      <c r="E12" s="4">
        <v>3</v>
      </c>
      <c r="F12" s="4">
        <v>3</v>
      </c>
      <c r="G12" s="4"/>
      <c r="H12" s="4"/>
      <c r="I12" s="4"/>
      <c r="J12" s="4"/>
      <c r="K12" s="4"/>
      <c r="L12" s="4"/>
      <c r="M12" s="4">
        <v>3</v>
      </c>
      <c r="N12" s="4">
        <v>3</v>
      </c>
      <c r="O12" s="4">
        <v>2</v>
      </c>
    </row>
    <row r="13" spans="1:26" ht="26" x14ac:dyDescent="0.3">
      <c r="A13" s="4" t="s">
        <v>117</v>
      </c>
      <c r="B13" s="4">
        <v>1</v>
      </c>
      <c r="C13" s="4">
        <v>1</v>
      </c>
      <c r="D13" s="4">
        <v>1</v>
      </c>
      <c r="E13" s="4">
        <v>1</v>
      </c>
      <c r="F13" s="4">
        <v>1</v>
      </c>
      <c r="G13" s="4"/>
      <c r="H13" s="4"/>
      <c r="I13" s="4"/>
      <c r="J13" s="4"/>
      <c r="K13" s="4"/>
      <c r="L13" s="4"/>
      <c r="M13" s="4">
        <v>3</v>
      </c>
      <c r="N13" s="4">
        <v>1</v>
      </c>
      <c r="O13" s="4">
        <v>1</v>
      </c>
    </row>
    <row r="14" spans="1:26" ht="26" x14ac:dyDescent="0.3">
      <c r="A14" s="4" t="s">
        <v>118</v>
      </c>
      <c r="B14" s="4">
        <v>1</v>
      </c>
      <c r="C14" s="4">
        <v>1</v>
      </c>
      <c r="D14" s="4">
        <v>1</v>
      </c>
      <c r="E14" s="4">
        <v>1</v>
      </c>
      <c r="F14" s="4">
        <v>1</v>
      </c>
      <c r="G14" s="4"/>
      <c r="H14" s="4"/>
      <c r="I14" s="4"/>
      <c r="J14" s="4"/>
      <c r="K14" s="4"/>
      <c r="L14" s="4"/>
      <c r="M14" s="4">
        <v>3</v>
      </c>
      <c r="N14" s="4">
        <v>1</v>
      </c>
      <c r="O14" s="4">
        <v>1</v>
      </c>
    </row>
    <row r="15" spans="1:26" ht="26" x14ac:dyDescent="0.3">
      <c r="A15" s="4" t="s">
        <v>119</v>
      </c>
      <c r="B15" s="4">
        <v>1</v>
      </c>
      <c r="C15" s="4">
        <v>1</v>
      </c>
      <c r="D15" s="4">
        <v>1</v>
      </c>
      <c r="E15" s="4">
        <v>1</v>
      </c>
      <c r="F15" s="4">
        <v>1</v>
      </c>
      <c r="G15" s="4"/>
      <c r="H15" s="4"/>
      <c r="I15" s="4"/>
      <c r="J15" s="4"/>
      <c r="K15" s="4"/>
      <c r="L15" s="4"/>
      <c r="M15" s="4">
        <v>3</v>
      </c>
      <c r="N15" s="4">
        <v>1</v>
      </c>
      <c r="O15" s="4">
        <v>1</v>
      </c>
      <c r="P15" s="29"/>
      <c r="Q15" s="29"/>
      <c r="R15" s="29"/>
      <c r="S15" s="29"/>
      <c r="T15" s="29"/>
      <c r="U15" s="29"/>
      <c r="V15" s="29"/>
      <c r="W15" s="29"/>
      <c r="X15" s="29"/>
      <c r="Y15" s="29"/>
      <c r="Z15" s="29"/>
    </row>
    <row r="16" spans="1:26" ht="13" x14ac:dyDescent="0.3">
      <c r="A16" s="8" t="s">
        <v>252</v>
      </c>
      <c r="B16" s="4">
        <v>1.8</v>
      </c>
      <c r="C16" s="4">
        <v>1.8</v>
      </c>
      <c r="D16" s="4">
        <v>1.4</v>
      </c>
      <c r="E16" s="4">
        <v>1.8</v>
      </c>
      <c r="F16" s="4">
        <v>1.8</v>
      </c>
      <c r="G16" s="4"/>
      <c r="H16" s="4"/>
      <c r="I16" s="4"/>
      <c r="J16" s="4"/>
      <c r="K16" s="4"/>
      <c r="L16" s="4"/>
      <c r="M16" s="4">
        <v>3</v>
      </c>
      <c r="N16" s="4">
        <v>1.8</v>
      </c>
      <c r="O16" s="4">
        <v>1.4</v>
      </c>
      <c r="P16" s="29"/>
      <c r="Q16" s="29"/>
      <c r="R16" s="29"/>
      <c r="S16" s="29"/>
      <c r="T16" s="29"/>
      <c r="U16" s="29"/>
      <c r="V16" s="29"/>
      <c r="W16" s="29"/>
      <c r="X16" s="29"/>
      <c r="Y16" s="29"/>
      <c r="Z16" s="29"/>
    </row>
    <row r="17" spans="1:26" ht="13" x14ac:dyDescent="0.3">
      <c r="A17" s="8" t="s">
        <v>253</v>
      </c>
      <c r="B17" s="4" t="s">
        <v>2</v>
      </c>
      <c r="C17" s="4" t="s">
        <v>3</v>
      </c>
      <c r="D17" s="4" t="s">
        <v>4</v>
      </c>
      <c r="E17" s="4" t="s">
        <v>5</v>
      </c>
      <c r="F17" s="4" t="s">
        <v>6</v>
      </c>
      <c r="G17" s="4" t="s">
        <v>7</v>
      </c>
      <c r="H17" s="4" t="s">
        <v>8</v>
      </c>
      <c r="I17" s="4" t="s">
        <v>9</v>
      </c>
      <c r="J17" s="4" t="s">
        <v>10</v>
      </c>
      <c r="K17" s="4" t="s">
        <v>11</v>
      </c>
      <c r="L17" s="4" t="s">
        <v>12</v>
      </c>
      <c r="M17" s="4" t="s">
        <v>13</v>
      </c>
      <c r="N17" s="4" t="s">
        <v>14</v>
      </c>
      <c r="O17" s="4" t="s">
        <v>15</v>
      </c>
    </row>
    <row r="18" spans="1:26" ht="26" x14ac:dyDescent="0.3">
      <c r="A18" s="4" t="s">
        <v>120</v>
      </c>
      <c r="B18" s="4">
        <v>3</v>
      </c>
      <c r="C18" s="4">
        <v>3</v>
      </c>
      <c r="D18" s="4">
        <v>3</v>
      </c>
      <c r="E18" s="4">
        <v>3</v>
      </c>
      <c r="F18" s="4">
        <v>3</v>
      </c>
      <c r="G18" s="4"/>
      <c r="H18" s="4"/>
      <c r="I18" s="4"/>
      <c r="J18" s="4"/>
      <c r="K18" s="4"/>
      <c r="L18" s="4"/>
      <c r="M18" s="4">
        <v>3</v>
      </c>
      <c r="N18" s="4">
        <v>3</v>
      </c>
      <c r="O18" s="4">
        <v>3</v>
      </c>
    </row>
    <row r="19" spans="1:26" ht="52" x14ac:dyDescent="0.3">
      <c r="A19" s="4" t="s">
        <v>121</v>
      </c>
      <c r="B19" s="4">
        <v>3</v>
      </c>
      <c r="C19" s="4">
        <v>3</v>
      </c>
      <c r="D19" s="4">
        <v>3</v>
      </c>
      <c r="E19" s="4">
        <v>3</v>
      </c>
      <c r="F19" s="4">
        <v>3</v>
      </c>
      <c r="G19" s="4"/>
      <c r="H19" s="4"/>
      <c r="I19" s="4"/>
      <c r="J19" s="4"/>
      <c r="K19" s="4"/>
      <c r="L19" s="4"/>
      <c r="M19" s="4">
        <v>3</v>
      </c>
      <c r="N19" s="4">
        <v>3</v>
      </c>
      <c r="O19" s="4">
        <v>3</v>
      </c>
    </row>
    <row r="20" spans="1:26" ht="13" x14ac:dyDescent="0.3">
      <c r="A20" s="4" t="s">
        <v>122</v>
      </c>
      <c r="B20" s="4">
        <v>3</v>
      </c>
      <c r="C20" s="4">
        <v>3</v>
      </c>
      <c r="D20" s="4">
        <v>3</v>
      </c>
      <c r="E20" s="4">
        <v>3</v>
      </c>
      <c r="F20" s="4">
        <v>3</v>
      </c>
      <c r="G20" s="4"/>
      <c r="H20" s="4"/>
      <c r="I20" s="4"/>
      <c r="J20" s="4"/>
      <c r="K20" s="4"/>
      <c r="L20" s="4"/>
      <c r="M20" s="4">
        <v>3</v>
      </c>
      <c r="N20" s="4">
        <v>3</v>
      </c>
      <c r="O20" s="4">
        <v>3</v>
      </c>
    </row>
    <row r="21" spans="1:26" ht="39" x14ac:dyDescent="0.3">
      <c r="A21" s="4" t="s">
        <v>123</v>
      </c>
      <c r="B21" s="4">
        <v>1</v>
      </c>
      <c r="C21" s="4">
        <v>1</v>
      </c>
      <c r="D21" s="4">
        <v>1</v>
      </c>
      <c r="E21" s="4">
        <v>1</v>
      </c>
      <c r="F21" s="4">
        <v>1</v>
      </c>
      <c r="G21" s="4"/>
      <c r="H21" s="4"/>
      <c r="I21" s="4"/>
      <c r="J21" s="4"/>
      <c r="K21" s="4"/>
      <c r="L21" s="4"/>
      <c r="M21" s="4">
        <v>3</v>
      </c>
      <c r="N21" s="4">
        <v>1</v>
      </c>
      <c r="O21" s="4">
        <v>1</v>
      </c>
    </row>
    <row r="22" spans="1:26" ht="26" x14ac:dyDescent="0.3">
      <c r="A22" s="4" t="s">
        <v>124</v>
      </c>
      <c r="B22" s="4">
        <v>1</v>
      </c>
      <c r="C22" s="4">
        <v>1</v>
      </c>
      <c r="D22" s="4">
        <v>1</v>
      </c>
      <c r="E22" s="4">
        <v>1</v>
      </c>
      <c r="F22" s="4">
        <v>1</v>
      </c>
      <c r="G22" s="4"/>
      <c r="H22" s="4"/>
      <c r="I22" s="4"/>
      <c r="J22" s="4"/>
      <c r="K22" s="4"/>
      <c r="L22" s="4"/>
      <c r="M22" s="4">
        <v>3</v>
      </c>
      <c r="N22" s="4">
        <v>1</v>
      </c>
      <c r="O22" s="4">
        <v>1</v>
      </c>
      <c r="P22" s="29"/>
      <c r="Q22" s="29"/>
      <c r="R22" s="29"/>
      <c r="S22" s="29"/>
      <c r="T22" s="29"/>
      <c r="U22" s="29"/>
      <c r="V22" s="29"/>
      <c r="W22" s="29"/>
      <c r="X22" s="29"/>
      <c r="Y22" s="29"/>
      <c r="Z22" s="29"/>
    </row>
    <row r="23" spans="1:26" ht="13" x14ac:dyDescent="0.3">
      <c r="A23" s="8" t="s">
        <v>253</v>
      </c>
      <c r="B23" s="4">
        <v>2.2000000000000002</v>
      </c>
      <c r="C23" s="4">
        <v>2.2000000000000002</v>
      </c>
      <c r="D23" s="4">
        <v>2.2000000000000002</v>
      </c>
      <c r="E23" s="4">
        <v>2.2000000000000002</v>
      </c>
      <c r="F23" s="4">
        <v>2.2000000000000002</v>
      </c>
      <c r="G23" s="4"/>
      <c r="H23" s="4"/>
      <c r="I23" s="4"/>
      <c r="J23" s="4"/>
      <c r="K23" s="4"/>
      <c r="L23" s="4"/>
      <c r="M23" s="4">
        <v>3</v>
      </c>
      <c r="N23" s="4">
        <v>2.2000000000000002</v>
      </c>
      <c r="O23" s="4">
        <v>2.2000000000000002</v>
      </c>
      <c r="P23" s="29"/>
      <c r="Q23" s="29"/>
      <c r="R23" s="29"/>
      <c r="S23" s="29"/>
      <c r="T23" s="29"/>
      <c r="U23" s="29"/>
      <c r="V23" s="29"/>
      <c r="W23" s="29"/>
      <c r="X23" s="29"/>
      <c r="Y23" s="29"/>
      <c r="Z23" s="29"/>
    </row>
    <row r="24" spans="1:26" ht="13" x14ac:dyDescent="0.3">
      <c r="A24" s="30" t="s">
        <v>254</v>
      </c>
      <c r="B24" s="4" t="s">
        <v>2</v>
      </c>
      <c r="C24" s="4" t="s">
        <v>3</v>
      </c>
      <c r="D24" s="4" t="s">
        <v>4</v>
      </c>
      <c r="E24" s="4" t="s">
        <v>5</v>
      </c>
      <c r="F24" s="4" t="s">
        <v>6</v>
      </c>
      <c r="G24" s="4" t="s">
        <v>7</v>
      </c>
      <c r="H24" s="4" t="s">
        <v>8</v>
      </c>
      <c r="I24" s="4" t="s">
        <v>9</v>
      </c>
      <c r="J24" s="4" t="s">
        <v>10</v>
      </c>
      <c r="K24" s="4" t="s">
        <v>11</v>
      </c>
      <c r="L24" s="4" t="s">
        <v>12</v>
      </c>
      <c r="M24" s="4" t="s">
        <v>13</v>
      </c>
      <c r="N24" s="4" t="s">
        <v>14</v>
      </c>
      <c r="O24" s="4" t="s">
        <v>15</v>
      </c>
    </row>
    <row r="25" spans="1:26" ht="26" x14ac:dyDescent="0.3">
      <c r="A25" s="31" t="s">
        <v>125</v>
      </c>
      <c r="B25" s="4">
        <v>3</v>
      </c>
      <c r="C25" s="4">
        <v>3</v>
      </c>
      <c r="D25" s="4">
        <v>2</v>
      </c>
      <c r="E25" s="4">
        <v>3</v>
      </c>
      <c r="F25" s="4">
        <v>3</v>
      </c>
      <c r="G25" s="4"/>
      <c r="H25" s="4"/>
      <c r="I25" s="4"/>
      <c r="J25" s="4"/>
      <c r="K25" s="4"/>
      <c r="L25" s="4"/>
      <c r="M25" s="4">
        <v>3</v>
      </c>
      <c r="N25" s="4">
        <v>3</v>
      </c>
      <c r="O25" s="4">
        <v>2</v>
      </c>
    </row>
    <row r="26" spans="1:26" ht="13" x14ac:dyDescent="0.3">
      <c r="A26" s="31" t="s">
        <v>126</v>
      </c>
      <c r="B26" s="4">
        <v>3</v>
      </c>
      <c r="C26" s="4">
        <v>3</v>
      </c>
      <c r="D26" s="4">
        <v>3</v>
      </c>
      <c r="E26" s="4">
        <v>3</v>
      </c>
      <c r="F26" s="4">
        <v>3</v>
      </c>
      <c r="G26" s="4"/>
      <c r="H26" s="4"/>
      <c r="I26" s="4"/>
      <c r="J26" s="4"/>
      <c r="K26" s="4"/>
      <c r="L26" s="4"/>
      <c r="M26" s="4">
        <v>3</v>
      </c>
      <c r="N26" s="4">
        <v>3</v>
      </c>
      <c r="O26" s="4">
        <v>3</v>
      </c>
    </row>
    <row r="27" spans="1:26" ht="13" x14ac:dyDescent="0.3">
      <c r="A27" s="31" t="s">
        <v>127</v>
      </c>
      <c r="B27" s="4">
        <v>3</v>
      </c>
      <c r="C27" s="4">
        <v>3</v>
      </c>
      <c r="D27" s="4">
        <v>2</v>
      </c>
      <c r="E27" s="4">
        <v>3</v>
      </c>
      <c r="F27" s="4">
        <v>3</v>
      </c>
      <c r="G27" s="4"/>
      <c r="H27" s="4"/>
      <c r="I27" s="4"/>
      <c r="J27" s="4"/>
      <c r="K27" s="4"/>
      <c r="L27" s="4"/>
      <c r="M27" s="4">
        <v>3</v>
      </c>
      <c r="N27" s="4">
        <v>3</v>
      </c>
      <c r="O27" s="4">
        <v>2</v>
      </c>
    </row>
    <row r="28" spans="1:26" ht="13" x14ac:dyDescent="0.3">
      <c r="A28" s="31" t="s">
        <v>128</v>
      </c>
      <c r="B28" s="4">
        <v>3</v>
      </c>
      <c r="C28" s="4">
        <v>3</v>
      </c>
      <c r="D28" s="4">
        <v>2</v>
      </c>
      <c r="E28" s="4">
        <v>3</v>
      </c>
      <c r="F28" s="4">
        <v>3</v>
      </c>
      <c r="G28" s="4"/>
      <c r="H28" s="4"/>
      <c r="I28" s="4"/>
      <c r="J28" s="4"/>
      <c r="K28" s="4"/>
      <c r="L28" s="4"/>
      <c r="M28" s="4">
        <v>3</v>
      </c>
      <c r="N28" s="4">
        <v>3</v>
      </c>
      <c r="O28" s="4">
        <v>2</v>
      </c>
    </row>
    <row r="29" spans="1:26" ht="13" x14ac:dyDescent="0.3">
      <c r="A29" s="31" t="s">
        <v>129</v>
      </c>
      <c r="B29" s="4">
        <v>3</v>
      </c>
      <c r="C29" s="4">
        <v>3</v>
      </c>
      <c r="D29" s="4">
        <v>3</v>
      </c>
      <c r="E29" s="4">
        <v>3</v>
      </c>
      <c r="F29" s="4">
        <v>3</v>
      </c>
      <c r="G29" s="4"/>
      <c r="H29" s="4"/>
      <c r="I29" s="4"/>
      <c r="J29" s="4"/>
      <c r="K29" s="4"/>
      <c r="L29" s="4"/>
      <c r="M29" s="4">
        <v>3</v>
      </c>
      <c r="N29" s="4">
        <v>3</v>
      </c>
      <c r="O29" s="4">
        <v>3</v>
      </c>
    </row>
    <row r="30" spans="1:26" ht="13" x14ac:dyDescent="0.3">
      <c r="A30" s="30" t="s">
        <v>254</v>
      </c>
      <c r="B30" s="4">
        <f t="shared" ref="B30:F30" si="0">AVERAGE(B25:B29)</f>
        <v>3</v>
      </c>
      <c r="C30" s="4">
        <f t="shared" si="0"/>
        <v>3</v>
      </c>
      <c r="D30" s="4">
        <f t="shared" si="0"/>
        <v>2.4</v>
      </c>
      <c r="E30" s="4">
        <f t="shared" si="0"/>
        <v>3</v>
      </c>
      <c r="F30" s="4">
        <f t="shared" si="0"/>
        <v>3</v>
      </c>
      <c r="G30" s="4"/>
      <c r="H30" s="4"/>
      <c r="I30" s="4"/>
      <c r="J30" s="4"/>
      <c r="K30" s="4"/>
      <c r="L30" s="4"/>
      <c r="M30" s="4">
        <f t="shared" ref="M30:O30" si="1">AVERAGE(M25:M29)</f>
        <v>3</v>
      </c>
      <c r="N30" s="4">
        <f t="shared" si="1"/>
        <v>3</v>
      </c>
      <c r="O30" s="4">
        <f t="shared" si="1"/>
        <v>2.4</v>
      </c>
      <c r="P30" s="29"/>
      <c r="Q30" s="29"/>
      <c r="R30" s="29"/>
      <c r="S30" s="29"/>
      <c r="T30" s="29"/>
      <c r="U30" s="29"/>
      <c r="V30" s="29"/>
      <c r="W30" s="29"/>
      <c r="X30" s="29"/>
      <c r="Y30" s="29"/>
      <c r="Z30" s="29"/>
    </row>
    <row r="31" spans="1:26" ht="13" x14ac:dyDescent="0.3">
      <c r="A31" s="8" t="s">
        <v>273</v>
      </c>
      <c r="B31" s="4" t="s">
        <v>2</v>
      </c>
      <c r="C31" s="4" t="s">
        <v>3</v>
      </c>
      <c r="D31" s="4" t="s">
        <v>4</v>
      </c>
      <c r="E31" s="4" t="s">
        <v>5</v>
      </c>
      <c r="F31" s="4" t="s">
        <v>6</v>
      </c>
      <c r="G31" s="4" t="s">
        <v>7</v>
      </c>
      <c r="H31" s="4" t="s">
        <v>8</v>
      </c>
      <c r="I31" s="4" t="s">
        <v>9</v>
      </c>
      <c r="J31" s="4" t="s">
        <v>10</v>
      </c>
      <c r="K31" s="4" t="s">
        <v>11</v>
      </c>
      <c r="L31" s="4" t="s">
        <v>12</v>
      </c>
      <c r="M31" s="4" t="s">
        <v>13</v>
      </c>
      <c r="N31" s="4" t="s">
        <v>14</v>
      </c>
      <c r="O31" s="4" t="s">
        <v>15</v>
      </c>
    </row>
    <row r="32" spans="1:26" ht="26" x14ac:dyDescent="0.3">
      <c r="A32" s="4" t="s">
        <v>130</v>
      </c>
      <c r="B32" s="4">
        <v>1</v>
      </c>
      <c r="C32" s="4">
        <v>1</v>
      </c>
      <c r="D32" s="4">
        <v>1</v>
      </c>
      <c r="E32" s="4">
        <v>1</v>
      </c>
      <c r="F32" s="4">
        <v>1</v>
      </c>
      <c r="G32" s="4"/>
      <c r="H32" s="4"/>
      <c r="I32" s="4"/>
      <c r="J32" s="4"/>
      <c r="K32" s="4"/>
      <c r="L32" s="4"/>
      <c r="M32" s="4">
        <v>3</v>
      </c>
      <c r="N32" s="4">
        <v>1</v>
      </c>
      <c r="O32" s="4">
        <v>1</v>
      </c>
    </row>
    <row r="33" spans="1:26" ht="26" x14ac:dyDescent="0.3">
      <c r="A33" s="4" t="s">
        <v>131</v>
      </c>
      <c r="B33" s="4">
        <v>3</v>
      </c>
      <c r="C33" s="4">
        <v>3</v>
      </c>
      <c r="D33" s="4">
        <v>2</v>
      </c>
      <c r="E33" s="4">
        <v>3</v>
      </c>
      <c r="F33" s="4">
        <v>3</v>
      </c>
      <c r="G33" s="4"/>
      <c r="H33" s="4"/>
      <c r="I33" s="4"/>
      <c r="J33" s="4"/>
      <c r="K33" s="4"/>
      <c r="L33" s="4"/>
      <c r="M33" s="4">
        <v>3</v>
      </c>
      <c r="N33" s="4">
        <v>3</v>
      </c>
      <c r="O33" s="4">
        <v>2</v>
      </c>
    </row>
    <row r="34" spans="1:26" ht="26" x14ac:dyDescent="0.3">
      <c r="A34" s="4" t="s">
        <v>132</v>
      </c>
      <c r="B34" s="4">
        <v>3</v>
      </c>
      <c r="C34" s="4">
        <v>3</v>
      </c>
      <c r="D34" s="4">
        <v>2</v>
      </c>
      <c r="E34" s="4">
        <v>3</v>
      </c>
      <c r="F34" s="4">
        <v>3</v>
      </c>
      <c r="G34" s="4"/>
      <c r="H34" s="4"/>
      <c r="I34" s="4"/>
      <c r="J34" s="4"/>
      <c r="K34" s="4"/>
      <c r="L34" s="4"/>
      <c r="M34" s="4">
        <v>3</v>
      </c>
      <c r="N34" s="4">
        <v>3</v>
      </c>
      <c r="O34" s="4">
        <v>2</v>
      </c>
    </row>
    <row r="35" spans="1:26" ht="26" x14ac:dyDescent="0.3">
      <c r="A35" s="4" t="s">
        <v>133</v>
      </c>
      <c r="B35" s="4">
        <v>3</v>
      </c>
      <c r="C35" s="4">
        <v>3</v>
      </c>
      <c r="D35" s="4">
        <v>2</v>
      </c>
      <c r="E35" s="4">
        <v>3</v>
      </c>
      <c r="F35" s="4">
        <v>3</v>
      </c>
      <c r="G35" s="4"/>
      <c r="H35" s="4"/>
      <c r="I35" s="4"/>
      <c r="J35" s="4"/>
      <c r="K35" s="4"/>
      <c r="L35" s="4"/>
      <c r="M35" s="4">
        <v>3</v>
      </c>
      <c r="N35" s="4">
        <v>3</v>
      </c>
      <c r="O35" s="4">
        <v>2</v>
      </c>
    </row>
    <row r="36" spans="1:26" ht="26" x14ac:dyDescent="0.3">
      <c r="A36" s="4" t="s">
        <v>134</v>
      </c>
      <c r="B36" s="4">
        <v>3</v>
      </c>
      <c r="C36" s="4">
        <v>3</v>
      </c>
      <c r="D36" s="4">
        <v>3</v>
      </c>
      <c r="E36" s="4">
        <v>3</v>
      </c>
      <c r="F36" s="4">
        <v>3</v>
      </c>
      <c r="G36" s="4"/>
      <c r="H36" s="4"/>
      <c r="I36" s="4"/>
      <c r="J36" s="4"/>
      <c r="K36" s="4"/>
      <c r="L36" s="4"/>
      <c r="M36" s="4">
        <v>3</v>
      </c>
      <c r="N36" s="4">
        <v>3</v>
      </c>
      <c r="O36" s="4">
        <v>3</v>
      </c>
      <c r="P36" s="29"/>
      <c r="Q36" s="29"/>
      <c r="R36" s="29"/>
      <c r="S36" s="29"/>
      <c r="T36" s="29"/>
      <c r="U36" s="29"/>
      <c r="V36" s="29"/>
      <c r="W36" s="29"/>
      <c r="X36" s="29"/>
      <c r="Y36" s="29"/>
      <c r="Z36" s="29"/>
    </row>
    <row r="37" spans="1:26" ht="13" x14ac:dyDescent="0.3">
      <c r="A37" s="8" t="s">
        <v>274</v>
      </c>
      <c r="B37" s="4">
        <v>2.6</v>
      </c>
      <c r="C37" s="4">
        <v>2.6</v>
      </c>
      <c r="D37" s="4">
        <v>2</v>
      </c>
      <c r="E37" s="4">
        <v>2.6</v>
      </c>
      <c r="F37" s="4">
        <v>2.6</v>
      </c>
      <c r="G37" s="4"/>
      <c r="H37" s="4"/>
      <c r="I37" s="4"/>
      <c r="J37" s="4"/>
      <c r="K37" s="4"/>
      <c r="L37" s="4"/>
      <c r="M37" s="4">
        <v>3</v>
      </c>
      <c r="N37" s="4">
        <v>2.6</v>
      </c>
      <c r="O37" s="4">
        <v>2</v>
      </c>
    </row>
    <row r="38" spans="1:26" ht="13" x14ac:dyDescent="0.3">
      <c r="A38" s="30" t="s">
        <v>255</v>
      </c>
      <c r="B38" s="4" t="s">
        <v>2</v>
      </c>
      <c r="C38" s="4" t="s">
        <v>3</v>
      </c>
      <c r="D38" s="4" t="s">
        <v>4</v>
      </c>
      <c r="E38" s="4" t="s">
        <v>5</v>
      </c>
      <c r="F38" s="4" t="s">
        <v>6</v>
      </c>
      <c r="G38" s="4" t="s">
        <v>7</v>
      </c>
      <c r="H38" s="4" t="s">
        <v>8</v>
      </c>
      <c r="I38" s="4" t="s">
        <v>9</v>
      </c>
      <c r="J38" s="4" t="s">
        <v>10</v>
      </c>
      <c r="K38" s="4" t="s">
        <v>11</v>
      </c>
      <c r="L38" s="4" t="s">
        <v>12</v>
      </c>
      <c r="M38" s="4" t="s">
        <v>13</v>
      </c>
      <c r="N38" s="4" t="s">
        <v>14</v>
      </c>
      <c r="O38" s="4" t="s">
        <v>15</v>
      </c>
    </row>
    <row r="39" spans="1:26" ht="39" x14ac:dyDescent="0.3">
      <c r="A39" s="31" t="s">
        <v>135</v>
      </c>
      <c r="B39" s="4">
        <v>3</v>
      </c>
      <c r="C39" s="4">
        <v>3</v>
      </c>
      <c r="D39" s="4">
        <v>3</v>
      </c>
      <c r="E39" s="4">
        <v>3</v>
      </c>
      <c r="F39" s="4">
        <v>3</v>
      </c>
      <c r="G39" s="4"/>
      <c r="H39" s="4"/>
      <c r="I39" s="4"/>
      <c r="J39" s="4"/>
      <c r="K39" s="4"/>
      <c r="L39" s="4"/>
      <c r="M39" s="4">
        <v>3</v>
      </c>
      <c r="N39" s="4">
        <v>3</v>
      </c>
      <c r="O39" s="4">
        <v>3</v>
      </c>
    </row>
    <row r="40" spans="1:26" ht="26" x14ac:dyDescent="0.3">
      <c r="A40" s="31" t="s">
        <v>136</v>
      </c>
      <c r="B40" s="4">
        <v>3</v>
      </c>
      <c r="C40" s="4">
        <v>3</v>
      </c>
      <c r="D40" s="4">
        <v>3</v>
      </c>
      <c r="E40" s="4">
        <v>3</v>
      </c>
      <c r="F40" s="4">
        <v>3</v>
      </c>
      <c r="G40" s="4"/>
      <c r="H40" s="4"/>
      <c r="I40" s="4"/>
      <c r="J40" s="4"/>
      <c r="K40" s="4"/>
      <c r="L40" s="4"/>
      <c r="M40" s="4">
        <v>3</v>
      </c>
      <c r="N40" s="4">
        <v>3</v>
      </c>
      <c r="O40" s="4">
        <v>3</v>
      </c>
    </row>
    <row r="41" spans="1:26" ht="13" x14ac:dyDescent="0.3">
      <c r="A41" s="31" t="s">
        <v>137</v>
      </c>
      <c r="B41" s="4">
        <v>3</v>
      </c>
      <c r="C41" s="4">
        <v>3</v>
      </c>
      <c r="D41" s="4">
        <v>2</v>
      </c>
      <c r="E41" s="4">
        <v>3</v>
      </c>
      <c r="F41" s="4">
        <v>3</v>
      </c>
      <c r="G41" s="4"/>
      <c r="H41" s="4"/>
      <c r="I41" s="4"/>
      <c r="J41" s="4"/>
      <c r="K41" s="4"/>
      <c r="L41" s="4"/>
      <c r="M41" s="4">
        <v>3</v>
      </c>
      <c r="N41" s="4">
        <v>3</v>
      </c>
      <c r="O41" s="4">
        <v>2</v>
      </c>
    </row>
    <row r="42" spans="1:26" ht="26" x14ac:dyDescent="0.3">
      <c r="A42" s="31" t="s">
        <v>138</v>
      </c>
      <c r="B42" s="4">
        <v>3</v>
      </c>
      <c r="C42" s="4">
        <v>3</v>
      </c>
      <c r="D42" s="4">
        <v>3</v>
      </c>
      <c r="E42" s="4">
        <v>3</v>
      </c>
      <c r="F42" s="4">
        <v>3</v>
      </c>
      <c r="G42" s="4"/>
      <c r="H42" s="4"/>
      <c r="I42" s="4"/>
      <c r="J42" s="4"/>
      <c r="K42" s="4"/>
      <c r="L42" s="4"/>
      <c r="M42" s="4">
        <v>3</v>
      </c>
      <c r="N42" s="4">
        <v>3</v>
      </c>
      <c r="O42" s="4">
        <v>3</v>
      </c>
    </row>
    <row r="43" spans="1:26" ht="26" x14ac:dyDescent="0.3">
      <c r="A43" s="31" t="s">
        <v>139</v>
      </c>
      <c r="B43" s="4">
        <v>3</v>
      </c>
      <c r="C43" s="4">
        <v>3</v>
      </c>
      <c r="D43" s="4">
        <v>3</v>
      </c>
      <c r="E43" s="4">
        <v>3</v>
      </c>
      <c r="F43" s="4">
        <v>3</v>
      </c>
      <c r="G43" s="4"/>
      <c r="H43" s="4"/>
      <c r="I43" s="4"/>
      <c r="J43" s="4"/>
      <c r="K43" s="4"/>
      <c r="L43" s="4"/>
      <c r="M43" s="4">
        <v>3</v>
      </c>
      <c r="N43" s="4">
        <v>3</v>
      </c>
      <c r="O43" s="4">
        <v>3</v>
      </c>
    </row>
    <row r="44" spans="1:26" ht="13" x14ac:dyDescent="0.3">
      <c r="A44" s="30" t="s">
        <v>255</v>
      </c>
      <c r="B44" s="9">
        <f t="shared" ref="B44:F44" si="2">AVERAGE(B39:B43)</f>
        <v>3</v>
      </c>
      <c r="C44" s="9">
        <f t="shared" si="2"/>
        <v>3</v>
      </c>
      <c r="D44" s="9">
        <f t="shared" si="2"/>
        <v>2.8</v>
      </c>
      <c r="E44" s="9">
        <f t="shared" si="2"/>
        <v>3</v>
      </c>
      <c r="F44" s="9">
        <f t="shared" si="2"/>
        <v>3</v>
      </c>
      <c r="G44" s="9"/>
      <c r="H44" s="9"/>
      <c r="I44" s="9"/>
      <c r="J44" s="9"/>
      <c r="K44" s="9"/>
      <c r="L44" s="9"/>
      <c r="M44" s="9">
        <f t="shared" ref="M44:O44" si="3">AVERAGE(M39:M43)</f>
        <v>3</v>
      </c>
      <c r="N44" s="9">
        <f t="shared" si="3"/>
        <v>3</v>
      </c>
      <c r="O44" s="9">
        <f t="shared" si="3"/>
        <v>2.8</v>
      </c>
    </row>
    <row r="45" spans="1:26" ht="13" x14ac:dyDescent="0.3">
      <c r="A45" s="30" t="s">
        <v>256</v>
      </c>
      <c r="B45" s="4" t="s">
        <v>2</v>
      </c>
      <c r="C45" s="4" t="s">
        <v>3</v>
      </c>
      <c r="D45" s="4" t="s">
        <v>4</v>
      </c>
      <c r="E45" s="4" t="s">
        <v>5</v>
      </c>
      <c r="F45" s="4" t="s">
        <v>6</v>
      </c>
      <c r="G45" s="4" t="s">
        <v>7</v>
      </c>
      <c r="H45" s="4" t="s">
        <v>8</v>
      </c>
      <c r="I45" s="4" t="s">
        <v>9</v>
      </c>
      <c r="J45" s="4" t="s">
        <v>10</v>
      </c>
      <c r="K45" s="4" t="s">
        <v>11</v>
      </c>
      <c r="L45" s="4" t="s">
        <v>12</v>
      </c>
      <c r="M45" s="4" t="s">
        <v>13</v>
      </c>
      <c r="N45" s="4" t="s">
        <v>14</v>
      </c>
      <c r="O45" s="4" t="s">
        <v>15</v>
      </c>
    </row>
    <row r="46" spans="1:26" ht="39" x14ac:dyDescent="0.3">
      <c r="A46" s="31" t="s">
        <v>140</v>
      </c>
      <c r="B46" s="4">
        <v>3</v>
      </c>
      <c r="C46" s="4">
        <v>3</v>
      </c>
      <c r="D46" s="4">
        <v>2</v>
      </c>
      <c r="E46" s="4">
        <v>3</v>
      </c>
      <c r="F46" s="4">
        <v>3</v>
      </c>
      <c r="G46" s="4"/>
      <c r="H46" s="4"/>
      <c r="I46" s="4"/>
      <c r="J46" s="4"/>
      <c r="K46" s="4"/>
      <c r="L46" s="4"/>
      <c r="M46" s="4">
        <v>3</v>
      </c>
      <c r="N46" s="4">
        <v>3</v>
      </c>
      <c r="O46" s="4">
        <v>2</v>
      </c>
    </row>
    <row r="47" spans="1:26" ht="26" x14ac:dyDescent="0.3">
      <c r="A47" s="31" t="s">
        <v>141</v>
      </c>
      <c r="B47" s="4">
        <v>3</v>
      </c>
      <c r="C47" s="4">
        <v>3</v>
      </c>
      <c r="D47" s="4">
        <v>2</v>
      </c>
      <c r="E47" s="4">
        <v>3</v>
      </c>
      <c r="F47" s="4">
        <v>3</v>
      </c>
      <c r="G47" s="4"/>
      <c r="H47" s="4"/>
      <c r="I47" s="4"/>
      <c r="J47" s="4"/>
      <c r="K47" s="4"/>
      <c r="L47" s="4"/>
      <c r="M47" s="4">
        <v>3</v>
      </c>
      <c r="N47" s="4">
        <v>3</v>
      </c>
      <c r="O47" s="4">
        <v>2</v>
      </c>
    </row>
    <row r="48" spans="1:26" ht="26" x14ac:dyDescent="0.3">
      <c r="A48" s="31" t="s">
        <v>142</v>
      </c>
      <c r="B48" s="4">
        <v>3</v>
      </c>
      <c r="C48" s="4">
        <v>3</v>
      </c>
      <c r="D48" s="4">
        <v>2</v>
      </c>
      <c r="E48" s="4">
        <v>3</v>
      </c>
      <c r="F48" s="4">
        <v>3</v>
      </c>
      <c r="G48" s="4"/>
      <c r="H48" s="4"/>
      <c r="I48" s="4"/>
      <c r="J48" s="4"/>
      <c r="K48" s="4"/>
      <c r="L48" s="4"/>
      <c r="M48" s="4">
        <v>3</v>
      </c>
      <c r="N48" s="4">
        <v>3</v>
      </c>
      <c r="O48" s="4">
        <v>2</v>
      </c>
    </row>
    <row r="49" spans="1:15" ht="13" x14ac:dyDescent="0.3">
      <c r="A49" s="31" t="s">
        <v>143</v>
      </c>
      <c r="B49" s="4">
        <v>3</v>
      </c>
      <c r="C49" s="4">
        <v>3</v>
      </c>
      <c r="D49" s="4">
        <v>2</v>
      </c>
      <c r="E49" s="4">
        <v>3</v>
      </c>
      <c r="F49" s="4">
        <v>3</v>
      </c>
      <c r="G49" s="4"/>
      <c r="H49" s="4"/>
      <c r="I49" s="4"/>
      <c r="J49" s="4"/>
      <c r="K49" s="4"/>
      <c r="L49" s="4"/>
      <c r="M49" s="4">
        <v>3</v>
      </c>
      <c r="N49" s="4">
        <v>3</v>
      </c>
      <c r="O49" s="4">
        <v>2</v>
      </c>
    </row>
    <row r="50" spans="1:15" ht="26" x14ac:dyDescent="0.3">
      <c r="A50" s="31" t="s">
        <v>144</v>
      </c>
      <c r="B50" s="4">
        <v>3</v>
      </c>
      <c r="C50" s="4">
        <v>3</v>
      </c>
      <c r="D50" s="4">
        <v>3</v>
      </c>
      <c r="E50" s="4">
        <v>3</v>
      </c>
      <c r="F50" s="4">
        <v>3</v>
      </c>
      <c r="G50" s="4"/>
      <c r="H50" s="4"/>
      <c r="I50" s="4"/>
      <c r="J50" s="4"/>
      <c r="K50" s="4"/>
      <c r="L50" s="4"/>
      <c r="M50" s="4">
        <v>3</v>
      </c>
      <c r="N50" s="4">
        <v>3</v>
      </c>
      <c r="O50" s="4">
        <v>3</v>
      </c>
    </row>
    <row r="51" spans="1:15" ht="13" x14ac:dyDescent="0.3">
      <c r="A51" s="30" t="s">
        <v>256</v>
      </c>
      <c r="B51" s="9">
        <f t="shared" ref="B51:F51" si="4">AVERAGE(B46:B50)</f>
        <v>3</v>
      </c>
      <c r="C51" s="9">
        <f t="shared" si="4"/>
        <v>3</v>
      </c>
      <c r="D51" s="9">
        <f t="shared" si="4"/>
        <v>2.2000000000000002</v>
      </c>
      <c r="E51" s="9">
        <f t="shared" si="4"/>
        <v>3</v>
      </c>
      <c r="F51" s="9">
        <f t="shared" si="4"/>
        <v>3</v>
      </c>
      <c r="G51" s="9"/>
      <c r="H51" s="9"/>
      <c r="I51" s="9"/>
      <c r="J51" s="9"/>
      <c r="K51" s="9"/>
      <c r="L51" s="9"/>
      <c r="M51" s="9">
        <f t="shared" ref="M51:O51" si="5">AVERAGE(M46:M50)</f>
        <v>3</v>
      </c>
      <c r="N51" s="9">
        <f t="shared" si="5"/>
        <v>3</v>
      </c>
      <c r="O51" s="9">
        <f t="shared" si="5"/>
        <v>2.2000000000000002</v>
      </c>
    </row>
    <row r="52" spans="1:15" ht="13" x14ac:dyDescent="0.3">
      <c r="A52" s="30" t="s">
        <v>257</v>
      </c>
      <c r="B52" s="4" t="s">
        <v>2</v>
      </c>
      <c r="C52" s="4" t="s">
        <v>3</v>
      </c>
      <c r="D52" s="4" t="s">
        <v>4</v>
      </c>
      <c r="E52" s="4" t="s">
        <v>5</v>
      </c>
      <c r="F52" s="4" t="s">
        <v>6</v>
      </c>
      <c r="G52" s="4" t="s">
        <v>7</v>
      </c>
      <c r="H52" s="4" t="s">
        <v>8</v>
      </c>
      <c r="I52" s="4" t="s">
        <v>9</v>
      </c>
      <c r="J52" s="4" t="s">
        <v>10</v>
      </c>
      <c r="K52" s="4" t="s">
        <v>11</v>
      </c>
      <c r="L52" s="4" t="s">
        <v>12</v>
      </c>
      <c r="M52" s="4" t="s">
        <v>13</v>
      </c>
      <c r="N52" s="4" t="s">
        <v>14</v>
      </c>
      <c r="O52" s="4" t="s">
        <v>15</v>
      </c>
    </row>
    <row r="53" spans="1:15" ht="26" x14ac:dyDescent="0.3">
      <c r="A53" s="31" t="s">
        <v>145</v>
      </c>
      <c r="B53" s="4">
        <v>3</v>
      </c>
      <c r="C53" s="4">
        <v>3</v>
      </c>
      <c r="D53" s="4">
        <v>2</v>
      </c>
      <c r="E53" s="4">
        <v>3</v>
      </c>
      <c r="F53" s="4">
        <v>3</v>
      </c>
      <c r="G53" s="4"/>
      <c r="H53" s="4"/>
      <c r="I53" s="4"/>
      <c r="J53" s="4"/>
      <c r="K53" s="4"/>
      <c r="L53" s="4"/>
      <c r="M53" s="4">
        <v>3</v>
      </c>
      <c r="N53" s="4">
        <v>3</v>
      </c>
      <c r="O53" s="4">
        <v>2</v>
      </c>
    </row>
    <row r="54" spans="1:15" ht="13" x14ac:dyDescent="0.3">
      <c r="A54" s="31" t="s">
        <v>146</v>
      </c>
      <c r="B54" s="4">
        <v>3</v>
      </c>
      <c r="C54" s="4">
        <v>3</v>
      </c>
      <c r="D54" s="4">
        <v>2</v>
      </c>
      <c r="E54" s="4">
        <v>3</v>
      </c>
      <c r="F54" s="4">
        <v>3</v>
      </c>
      <c r="G54" s="4"/>
      <c r="H54" s="4"/>
      <c r="I54" s="4"/>
      <c r="J54" s="4"/>
      <c r="K54" s="4"/>
      <c r="L54" s="4"/>
      <c r="M54" s="4">
        <v>3</v>
      </c>
      <c r="N54" s="4">
        <v>3</v>
      </c>
      <c r="O54" s="4">
        <v>2</v>
      </c>
    </row>
    <row r="55" spans="1:15" ht="13" x14ac:dyDescent="0.3">
      <c r="A55" s="31" t="s">
        <v>147</v>
      </c>
      <c r="B55" s="4">
        <v>3</v>
      </c>
      <c r="C55" s="4">
        <v>3</v>
      </c>
      <c r="D55" s="4">
        <v>2</v>
      </c>
      <c r="E55" s="4">
        <v>3</v>
      </c>
      <c r="F55" s="4">
        <v>3</v>
      </c>
      <c r="G55" s="4"/>
      <c r="H55" s="4"/>
      <c r="I55" s="4"/>
      <c r="J55" s="4"/>
      <c r="K55" s="4"/>
      <c r="L55" s="4"/>
      <c r="M55" s="4">
        <v>3</v>
      </c>
      <c r="N55" s="4">
        <v>3</v>
      </c>
      <c r="O55" s="4">
        <v>2</v>
      </c>
    </row>
    <row r="56" spans="1:15" ht="26" x14ac:dyDescent="0.3">
      <c r="A56" s="31" t="s">
        <v>148</v>
      </c>
      <c r="B56" s="4">
        <v>3</v>
      </c>
      <c r="C56" s="4">
        <v>3</v>
      </c>
      <c r="D56" s="4">
        <v>3</v>
      </c>
      <c r="E56" s="4">
        <v>3</v>
      </c>
      <c r="F56" s="4">
        <v>3</v>
      </c>
      <c r="G56" s="4"/>
      <c r="H56" s="4"/>
      <c r="I56" s="4"/>
      <c r="J56" s="4"/>
      <c r="K56" s="4"/>
      <c r="L56" s="4"/>
      <c r="M56" s="4">
        <v>3</v>
      </c>
      <c r="N56" s="4">
        <v>3</v>
      </c>
      <c r="O56" s="4">
        <v>3</v>
      </c>
    </row>
    <row r="57" spans="1:15" ht="13" x14ac:dyDescent="0.3">
      <c r="A57" s="31" t="s">
        <v>149</v>
      </c>
      <c r="B57" s="4">
        <v>3</v>
      </c>
      <c r="C57" s="4">
        <v>3</v>
      </c>
      <c r="D57" s="4">
        <v>3</v>
      </c>
      <c r="E57" s="4">
        <v>3</v>
      </c>
      <c r="F57" s="4">
        <v>3</v>
      </c>
      <c r="G57" s="4"/>
      <c r="H57" s="4"/>
      <c r="I57" s="4"/>
      <c r="J57" s="4"/>
      <c r="K57" s="4"/>
      <c r="L57" s="4"/>
      <c r="M57" s="4">
        <v>3</v>
      </c>
      <c r="N57" s="4">
        <v>3</v>
      </c>
      <c r="O57" s="4">
        <v>3</v>
      </c>
    </row>
    <row r="58" spans="1:15" ht="13" x14ac:dyDescent="0.3">
      <c r="A58" s="30" t="s">
        <v>257</v>
      </c>
      <c r="B58" s="9">
        <f t="shared" ref="B58:F58" si="6">AVERAGE(B53:B57)</f>
        <v>3</v>
      </c>
      <c r="C58" s="9">
        <f t="shared" si="6"/>
        <v>3</v>
      </c>
      <c r="D58" s="9">
        <f t="shared" si="6"/>
        <v>2.4</v>
      </c>
      <c r="E58" s="9">
        <f t="shared" si="6"/>
        <v>3</v>
      </c>
      <c r="F58" s="9">
        <f t="shared" si="6"/>
        <v>3</v>
      </c>
      <c r="G58" s="9"/>
      <c r="H58" s="9"/>
      <c r="I58" s="9"/>
      <c r="J58" s="9"/>
      <c r="K58" s="9"/>
      <c r="L58" s="9"/>
      <c r="M58" s="9">
        <f t="shared" ref="M58:O58" si="7">AVERAGE(M53:M57)</f>
        <v>3</v>
      </c>
      <c r="N58" s="9">
        <f t="shared" si="7"/>
        <v>3</v>
      </c>
      <c r="O58" s="9">
        <f t="shared" si="7"/>
        <v>2.4</v>
      </c>
    </row>
    <row r="59" spans="1:15" ht="13" x14ac:dyDescent="0.3">
      <c r="A59" s="32" t="s">
        <v>258</v>
      </c>
      <c r="B59" s="5" t="s">
        <v>2</v>
      </c>
      <c r="C59" s="5" t="s">
        <v>3</v>
      </c>
      <c r="D59" s="5" t="s">
        <v>4</v>
      </c>
      <c r="E59" s="5" t="s">
        <v>5</v>
      </c>
      <c r="F59" s="5" t="s">
        <v>6</v>
      </c>
      <c r="G59" s="5" t="s">
        <v>7</v>
      </c>
      <c r="H59" s="5" t="s">
        <v>8</v>
      </c>
      <c r="I59" s="5" t="s">
        <v>9</v>
      </c>
      <c r="J59" s="5" t="s">
        <v>10</v>
      </c>
      <c r="K59" s="5" t="s">
        <v>11</v>
      </c>
      <c r="L59" s="5" t="s">
        <v>12</v>
      </c>
      <c r="M59" s="5" t="s">
        <v>13</v>
      </c>
      <c r="N59" s="5" t="s">
        <v>14</v>
      </c>
      <c r="O59" s="5" t="s">
        <v>15</v>
      </c>
    </row>
    <row r="60" spans="1:15" ht="13" x14ac:dyDescent="0.3">
      <c r="A60" s="33" t="s">
        <v>150</v>
      </c>
      <c r="B60" s="14">
        <v>3</v>
      </c>
      <c r="C60" s="14">
        <v>3</v>
      </c>
      <c r="D60" s="14">
        <v>2</v>
      </c>
      <c r="E60" s="14">
        <v>3</v>
      </c>
      <c r="F60" s="14">
        <v>3</v>
      </c>
      <c r="G60" s="14"/>
      <c r="H60" s="14"/>
      <c r="I60" s="14"/>
      <c r="J60" s="14"/>
      <c r="K60" s="14">
        <v>3</v>
      </c>
      <c r="L60" s="4"/>
      <c r="M60" s="14">
        <v>3</v>
      </c>
      <c r="N60" s="14">
        <v>3</v>
      </c>
      <c r="O60" s="14">
        <v>2</v>
      </c>
    </row>
    <row r="61" spans="1:15" ht="13" x14ac:dyDescent="0.3">
      <c r="A61" s="33" t="s">
        <v>151</v>
      </c>
      <c r="B61" s="14">
        <v>3</v>
      </c>
      <c r="C61" s="14">
        <v>3</v>
      </c>
      <c r="D61" s="14">
        <v>2</v>
      </c>
      <c r="E61" s="14">
        <v>3</v>
      </c>
      <c r="F61" s="14">
        <v>3</v>
      </c>
      <c r="G61" s="14"/>
      <c r="H61" s="14"/>
      <c r="I61" s="14"/>
      <c r="J61" s="14"/>
      <c r="K61" s="14">
        <v>3</v>
      </c>
      <c r="L61" s="4"/>
      <c r="M61" s="14">
        <v>3</v>
      </c>
      <c r="N61" s="14">
        <v>3</v>
      </c>
      <c r="O61" s="14">
        <v>2</v>
      </c>
    </row>
    <row r="62" spans="1:15" ht="26" x14ac:dyDescent="0.3">
      <c r="A62" s="33" t="s">
        <v>152</v>
      </c>
      <c r="B62" s="14">
        <v>3</v>
      </c>
      <c r="C62" s="14">
        <v>3</v>
      </c>
      <c r="D62" s="14">
        <v>2</v>
      </c>
      <c r="E62" s="14">
        <v>3</v>
      </c>
      <c r="F62" s="14">
        <v>3</v>
      </c>
      <c r="G62" s="14"/>
      <c r="H62" s="14"/>
      <c r="I62" s="14"/>
      <c r="J62" s="14"/>
      <c r="K62" s="14">
        <v>3</v>
      </c>
      <c r="L62" s="4"/>
      <c r="M62" s="14">
        <v>3</v>
      </c>
      <c r="N62" s="14">
        <v>3</v>
      </c>
      <c r="O62" s="14">
        <v>2</v>
      </c>
    </row>
    <row r="63" spans="1:15" ht="13" x14ac:dyDescent="0.3">
      <c r="A63" s="32" t="s">
        <v>258</v>
      </c>
      <c r="B63" s="5">
        <f t="shared" ref="B63:F63" si="8">AVERAGE(B60:B62)</f>
        <v>3</v>
      </c>
      <c r="C63" s="5">
        <f t="shared" si="8"/>
        <v>3</v>
      </c>
      <c r="D63" s="5">
        <f t="shared" si="8"/>
        <v>2</v>
      </c>
      <c r="E63" s="5">
        <f t="shared" si="8"/>
        <v>3</v>
      </c>
      <c r="F63" s="5">
        <f t="shared" si="8"/>
        <v>3</v>
      </c>
      <c r="G63" s="5"/>
      <c r="H63" s="5"/>
      <c r="I63" s="5"/>
      <c r="J63" s="5"/>
      <c r="K63" s="5">
        <v>3</v>
      </c>
      <c r="L63" s="4"/>
      <c r="M63" s="5">
        <f t="shared" ref="M63:O63" si="9">AVERAGE(M60:M62)</f>
        <v>3</v>
      </c>
      <c r="N63" s="5">
        <f t="shared" si="9"/>
        <v>3</v>
      </c>
      <c r="O63" s="5">
        <f t="shared" si="9"/>
        <v>2</v>
      </c>
    </row>
    <row r="64" spans="1:15" ht="13" x14ac:dyDescent="0.3">
      <c r="A64" s="8" t="s">
        <v>259</v>
      </c>
      <c r="B64" s="5" t="s">
        <v>2</v>
      </c>
      <c r="C64" s="5" t="s">
        <v>3</v>
      </c>
      <c r="D64" s="5" t="s">
        <v>4</v>
      </c>
      <c r="E64" s="5" t="s">
        <v>5</v>
      </c>
      <c r="F64" s="5" t="s">
        <v>6</v>
      </c>
      <c r="G64" s="5" t="s">
        <v>7</v>
      </c>
      <c r="H64" s="5" t="s">
        <v>8</v>
      </c>
      <c r="I64" s="5" t="s">
        <v>9</v>
      </c>
      <c r="J64" s="5" t="s">
        <v>10</v>
      </c>
      <c r="K64" s="5" t="s">
        <v>11</v>
      </c>
      <c r="L64" s="5" t="s">
        <v>12</v>
      </c>
      <c r="M64" s="5" t="s">
        <v>13</v>
      </c>
      <c r="N64" s="5" t="s">
        <v>14</v>
      </c>
      <c r="O64" s="5" t="s">
        <v>15</v>
      </c>
    </row>
    <row r="65" spans="1:26" ht="26" x14ac:dyDescent="0.3">
      <c r="A65" s="4" t="s">
        <v>153</v>
      </c>
      <c r="B65" s="34"/>
      <c r="C65" s="34"/>
      <c r="D65" s="34"/>
      <c r="E65" s="34"/>
      <c r="F65" s="34"/>
      <c r="G65" s="35">
        <v>1</v>
      </c>
      <c r="H65" s="35"/>
      <c r="I65" s="35">
        <v>1</v>
      </c>
      <c r="J65" s="35">
        <v>1</v>
      </c>
      <c r="K65" s="35">
        <v>1</v>
      </c>
      <c r="L65" s="35"/>
      <c r="M65" s="35">
        <v>1</v>
      </c>
      <c r="N65" s="34"/>
      <c r="O65" s="34"/>
    </row>
    <row r="66" spans="1:26" ht="26" x14ac:dyDescent="0.3">
      <c r="A66" s="4" t="s">
        <v>154</v>
      </c>
      <c r="B66" s="34"/>
      <c r="C66" s="34"/>
      <c r="D66" s="34"/>
      <c r="E66" s="34"/>
      <c r="F66" s="34"/>
      <c r="G66" s="35">
        <v>1</v>
      </c>
      <c r="H66" s="35"/>
      <c r="I66" s="35">
        <v>1</v>
      </c>
      <c r="J66" s="35">
        <v>1</v>
      </c>
      <c r="K66" s="35"/>
      <c r="L66" s="35">
        <v>3</v>
      </c>
      <c r="M66" s="35">
        <v>1</v>
      </c>
      <c r="N66" s="34"/>
      <c r="O66" s="34"/>
    </row>
    <row r="67" spans="1:26" ht="26" x14ac:dyDescent="0.3">
      <c r="A67" s="4" t="s">
        <v>155</v>
      </c>
      <c r="B67" s="34"/>
      <c r="C67" s="34"/>
      <c r="D67" s="34"/>
      <c r="E67" s="34"/>
      <c r="F67" s="34"/>
      <c r="G67" s="35">
        <v>1</v>
      </c>
      <c r="H67" s="35">
        <v>3</v>
      </c>
      <c r="I67" s="35">
        <v>1</v>
      </c>
      <c r="J67" s="35">
        <v>1</v>
      </c>
      <c r="K67" s="35">
        <v>2</v>
      </c>
      <c r="L67" s="35"/>
      <c r="M67" s="35">
        <v>3</v>
      </c>
      <c r="N67" s="34"/>
      <c r="O67" s="34"/>
    </row>
    <row r="68" spans="1:26" ht="26" x14ac:dyDescent="0.3">
      <c r="A68" s="4" t="s">
        <v>156</v>
      </c>
      <c r="B68" s="34"/>
      <c r="C68" s="34"/>
      <c r="D68" s="34"/>
      <c r="E68" s="34"/>
      <c r="F68" s="34"/>
      <c r="G68" s="35">
        <v>3</v>
      </c>
      <c r="H68" s="35">
        <v>3</v>
      </c>
      <c r="I68" s="35">
        <v>3</v>
      </c>
      <c r="J68" s="35">
        <v>3</v>
      </c>
      <c r="K68" s="35">
        <v>2</v>
      </c>
      <c r="L68" s="35">
        <v>2</v>
      </c>
      <c r="M68" s="35">
        <v>3</v>
      </c>
      <c r="N68" s="34"/>
      <c r="O68" s="34"/>
    </row>
    <row r="69" spans="1:26" ht="26" x14ac:dyDescent="0.3">
      <c r="A69" s="4" t="s">
        <v>157</v>
      </c>
      <c r="B69" s="34"/>
      <c r="C69" s="34"/>
      <c r="D69" s="34"/>
      <c r="E69" s="34"/>
      <c r="F69" s="34"/>
      <c r="G69" s="35">
        <v>3</v>
      </c>
      <c r="H69" s="35">
        <v>3</v>
      </c>
      <c r="I69" s="35">
        <v>3</v>
      </c>
      <c r="J69" s="35">
        <v>3</v>
      </c>
      <c r="K69" s="35"/>
      <c r="L69" s="35">
        <v>2</v>
      </c>
      <c r="M69" s="35">
        <v>2</v>
      </c>
      <c r="N69" s="34"/>
      <c r="O69" s="34"/>
    </row>
    <row r="70" spans="1:26" ht="13" x14ac:dyDescent="0.3">
      <c r="A70" s="8" t="s">
        <v>259</v>
      </c>
      <c r="B70" s="4"/>
      <c r="C70" s="4"/>
      <c r="D70" s="4"/>
      <c r="E70" s="4"/>
      <c r="F70" s="4"/>
      <c r="G70" s="36">
        <f t="shared" ref="G70:M70" si="10">AVERAGE(G67:G69)</f>
        <v>2.3333333333333335</v>
      </c>
      <c r="H70" s="36">
        <f t="shared" si="10"/>
        <v>3</v>
      </c>
      <c r="I70" s="36">
        <f t="shared" si="10"/>
        <v>2.3333333333333335</v>
      </c>
      <c r="J70" s="36">
        <f t="shared" si="10"/>
        <v>2.3333333333333335</v>
      </c>
      <c r="K70" s="36">
        <f t="shared" si="10"/>
        <v>2</v>
      </c>
      <c r="L70" s="36">
        <f t="shared" si="10"/>
        <v>2</v>
      </c>
      <c r="M70" s="36">
        <f t="shared" si="10"/>
        <v>2.6666666666666665</v>
      </c>
      <c r="N70" s="4"/>
      <c r="O70" s="4"/>
      <c r="P70" s="29"/>
      <c r="Q70" s="29"/>
      <c r="R70" s="29"/>
      <c r="S70" s="29"/>
      <c r="T70" s="29"/>
      <c r="U70" s="29"/>
      <c r="V70" s="29"/>
      <c r="W70" s="29"/>
      <c r="X70" s="29"/>
      <c r="Y70" s="29"/>
      <c r="Z70" s="29"/>
    </row>
    <row r="71" spans="1:26" ht="13" x14ac:dyDescent="0.3">
      <c r="A71" s="8" t="s">
        <v>260</v>
      </c>
      <c r="B71" s="4" t="s">
        <v>2</v>
      </c>
      <c r="C71" s="4" t="s">
        <v>3</v>
      </c>
      <c r="D71" s="4" t="s">
        <v>4</v>
      </c>
      <c r="E71" s="4" t="s">
        <v>5</v>
      </c>
      <c r="F71" s="4" t="s">
        <v>6</v>
      </c>
      <c r="G71" s="4" t="s">
        <v>7</v>
      </c>
      <c r="H71" s="4" t="s">
        <v>8</v>
      </c>
      <c r="I71" s="4" t="s">
        <v>9</v>
      </c>
      <c r="J71" s="4" t="s">
        <v>10</v>
      </c>
      <c r="K71" s="4" t="s">
        <v>11</v>
      </c>
      <c r="L71" s="4" t="s">
        <v>12</v>
      </c>
      <c r="M71" s="4" t="s">
        <v>13</v>
      </c>
      <c r="N71" s="4" t="s">
        <v>14</v>
      </c>
      <c r="O71" s="4" t="s">
        <v>15</v>
      </c>
    </row>
    <row r="72" spans="1:26" ht="26" x14ac:dyDescent="0.3">
      <c r="A72" s="4" t="s">
        <v>158</v>
      </c>
      <c r="B72" s="4">
        <v>3</v>
      </c>
      <c r="C72" s="4">
        <v>3</v>
      </c>
      <c r="D72" s="4">
        <v>2</v>
      </c>
      <c r="E72" s="4">
        <v>3</v>
      </c>
      <c r="F72" s="4">
        <v>3</v>
      </c>
      <c r="G72" s="4"/>
      <c r="H72" s="4"/>
      <c r="I72" s="4"/>
      <c r="J72" s="4"/>
      <c r="K72" s="4"/>
      <c r="L72" s="4"/>
      <c r="M72" s="4">
        <v>3</v>
      </c>
      <c r="N72" s="4">
        <v>3</v>
      </c>
      <c r="O72" s="4">
        <v>2</v>
      </c>
    </row>
    <row r="73" spans="1:26" ht="26" x14ac:dyDescent="0.3">
      <c r="A73" s="4" t="s">
        <v>159</v>
      </c>
      <c r="B73" s="4">
        <v>3</v>
      </c>
      <c r="C73" s="4">
        <v>3</v>
      </c>
      <c r="D73" s="4">
        <v>2</v>
      </c>
      <c r="E73" s="4">
        <v>3</v>
      </c>
      <c r="F73" s="4">
        <v>3</v>
      </c>
      <c r="G73" s="4"/>
      <c r="H73" s="4"/>
      <c r="I73" s="4"/>
      <c r="J73" s="4"/>
      <c r="K73" s="4"/>
      <c r="L73" s="4"/>
      <c r="M73" s="4">
        <v>3</v>
      </c>
      <c r="N73" s="4">
        <v>3</v>
      </c>
      <c r="O73" s="4">
        <v>2</v>
      </c>
    </row>
    <row r="74" spans="1:26" ht="26" x14ac:dyDescent="0.3">
      <c r="A74" s="4" t="s">
        <v>160</v>
      </c>
      <c r="B74" s="4">
        <v>1</v>
      </c>
      <c r="C74" s="4">
        <v>1</v>
      </c>
      <c r="D74" s="4">
        <v>1</v>
      </c>
      <c r="E74" s="4">
        <v>1</v>
      </c>
      <c r="F74" s="4">
        <v>1</v>
      </c>
      <c r="G74" s="4"/>
      <c r="H74" s="4"/>
      <c r="I74" s="4"/>
      <c r="J74" s="4"/>
      <c r="K74" s="4"/>
      <c r="L74" s="4"/>
      <c r="M74" s="4">
        <v>3</v>
      </c>
      <c r="N74" s="4">
        <v>1</v>
      </c>
      <c r="O74" s="4">
        <v>1</v>
      </c>
    </row>
    <row r="75" spans="1:26" ht="26" x14ac:dyDescent="0.3">
      <c r="A75" s="4" t="s">
        <v>161</v>
      </c>
      <c r="B75" s="4">
        <v>3</v>
      </c>
      <c r="C75" s="4">
        <v>3</v>
      </c>
      <c r="D75" s="4">
        <v>2</v>
      </c>
      <c r="E75" s="4">
        <v>3</v>
      </c>
      <c r="F75" s="4">
        <v>3</v>
      </c>
      <c r="G75" s="4"/>
      <c r="H75" s="4"/>
      <c r="I75" s="4"/>
      <c r="J75" s="4"/>
      <c r="K75" s="4"/>
      <c r="L75" s="4"/>
      <c r="M75" s="4">
        <v>3</v>
      </c>
      <c r="N75" s="4">
        <v>3</v>
      </c>
      <c r="O75" s="4">
        <v>2</v>
      </c>
    </row>
    <row r="76" spans="1:26" ht="26" x14ac:dyDescent="0.3">
      <c r="A76" s="4" t="s">
        <v>162</v>
      </c>
      <c r="B76" s="4">
        <v>3</v>
      </c>
      <c r="C76" s="4">
        <v>3</v>
      </c>
      <c r="D76" s="4">
        <v>2</v>
      </c>
      <c r="E76" s="4">
        <v>3</v>
      </c>
      <c r="F76" s="4">
        <v>3</v>
      </c>
      <c r="G76" s="4"/>
      <c r="H76" s="4"/>
      <c r="I76" s="4"/>
      <c r="J76" s="4"/>
      <c r="K76" s="4"/>
      <c r="L76" s="4"/>
      <c r="M76" s="4">
        <v>3</v>
      </c>
      <c r="N76" s="4">
        <v>3</v>
      </c>
      <c r="O76" s="4">
        <v>2</v>
      </c>
      <c r="P76" s="37"/>
      <c r="Q76" s="37"/>
      <c r="R76" s="37"/>
      <c r="S76" s="37"/>
      <c r="T76" s="37"/>
      <c r="U76" s="37"/>
      <c r="V76" s="37"/>
      <c r="W76" s="37"/>
      <c r="X76" s="37"/>
      <c r="Y76" s="37"/>
      <c r="Z76" s="37"/>
    </row>
    <row r="77" spans="1:26" ht="13" x14ac:dyDescent="0.3">
      <c r="A77" s="8" t="s">
        <v>260</v>
      </c>
      <c r="B77" s="4">
        <v>2.6</v>
      </c>
      <c r="C77" s="4">
        <v>2.6</v>
      </c>
      <c r="D77" s="4">
        <v>1.8</v>
      </c>
      <c r="E77" s="4">
        <v>2.6</v>
      </c>
      <c r="F77" s="4">
        <v>2.6</v>
      </c>
      <c r="G77" s="4"/>
      <c r="H77" s="4"/>
      <c r="I77" s="4"/>
      <c r="J77" s="4"/>
      <c r="K77" s="4"/>
      <c r="L77" s="4"/>
      <c r="M77" s="4">
        <v>3</v>
      </c>
      <c r="N77" s="4">
        <v>2.6</v>
      </c>
      <c r="O77" s="4">
        <v>1.8</v>
      </c>
      <c r="P77" s="29"/>
      <c r="Q77" s="29"/>
      <c r="R77" s="29"/>
      <c r="S77" s="29"/>
      <c r="T77" s="29"/>
      <c r="U77" s="29"/>
      <c r="V77" s="29"/>
      <c r="W77" s="29"/>
      <c r="X77" s="29"/>
      <c r="Y77" s="29"/>
      <c r="Z77" s="29"/>
    </row>
    <row r="78" spans="1:26" ht="13" x14ac:dyDescent="0.3">
      <c r="A78" s="8" t="s">
        <v>261</v>
      </c>
      <c r="B78" s="4" t="s">
        <v>2</v>
      </c>
      <c r="C78" s="4" t="s">
        <v>3</v>
      </c>
      <c r="D78" s="4" t="s">
        <v>4</v>
      </c>
      <c r="E78" s="4" t="s">
        <v>5</v>
      </c>
      <c r="F78" s="4" t="s">
        <v>6</v>
      </c>
      <c r="G78" s="4" t="s">
        <v>7</v>
      </c>
      <c r="H78" s="4" t="s">
        <v>8</v>
      </c>
      <c r="I78" s="4" t="s">
        <v>9</v>
      </c>
      <c r="J78" s="4" t="s">
        <v>10</v>
      </c>
      <c r="K78" s="4" t="s">
        <v>11</v>
      </c>
      <c r="L78" s="4" t="s">
        <v>12</v>
      </c>
      <c r="M78" s="4" t="s">
        <v>13</v>
      </c>
      <c r="N78" s="4" t="s">
        <v>14</v>
      </c>
      <c r="O78" s="4" t="s">
        <v>15</v>
      </c>
    </row>
    <row r="79" spans="1:26" ht="52" x14ac:dyDescent="0.3">
      <c r="A79" s="4" t="s">
        <v>163</v>
      </c>
      <c r="B79" s="4">
        <v>3</v>
      </c>
      <c r="C79" s="4">
        <v>3</v>
      </c>
      <c r="D79" s="4">
        <v>2</v>
      </c>
      <c r="E79" s="4">
        <v>3</v>
      </c>
      <c r="F79" s="4">
        <v>3</v>
      </c>
      <c r="G79" s="4"/>
      <c r="H79" s="4"/>
      <c r="I79" s="4"/>
      <c r="J79" s="4"/>
      <c r="K79" s="4"/>
      <c r="L79" s="4"/>
      <c r="M79" s="4">
        <v>3</v>
      </c>
      <c r="N79" s="4">
        <v>3</v>
      </c>
      <c r="O79" s="4">
        <v>2</v>
      </c>
    </row>
    <row r="80" spans="1:26" ht="26" x14ac:dyDescent="0.3">
      <c r="A80" s="4" t="s">
        <v>164</v>
      </c>
      <c r="B80" s="4">
        <v>1</v>
      </c>
      <c r="C80" s="4">
        <v>1</v>
      </c>
      <c r="D80" s="4">
        <v>1</v>
      </c>
      <c r="E80" s="4">
        <v>1</v>
      </c>
      <c r="F80" s="4">
        <v>1</v>
      </c>
      <c r="G80" s="4"/>
      <c r="H80" s="4"/>
      <c r="I80" s="4"/>
      <c r="J80" s="4"/>
      <c r="K80" s="4"/>
      <c r="L80" s="4"/>
      <c r="M80" s="4">
        <v>3</v>
      </c>
      <c r="N80" s="4">
        <v>1</v>
      </c>
      <c r="O80" s="4">
        <v>1</v>
      </c>
    </row>
    <row r="81" spans="1:15" ht="26" x14ac:dyDescent="0.3">
      <c r="A81" s="4" t="s">
        <v>165</v>
      </c>
      <c r="B81" s="4">
        <v>3</v>
      </c>
      <c r="C81" s="4">
        <v>3</v>
      </c>
      <c r="D81" s="4">
        <v>2</v>
      </c>
      <c r="E81" s="4">
        <v>3</v>
      </c>
      <c r="F81" s="4">
        <v>3</v>
      </c>
      <c r="G81" s="4"/>
      <c r="H81" s="4"/>
      <c r="I81" s="4"/>
      <c r="J81" s="4"/>
      <c r="K81" s="4"/>
      <c r="L81" s="4"/>
      <c r="M81" s="4">
        <v>3</v>
      </c>
      <c r="N81" s="4">
        <v>3</v>
      </c>
      <c r="O81" s="4">
        <v>2</v>
      </c>
    </row>
    <row r="82" spans="1:15" ht="26" x14ac:dyDescent="0.3">
      <c r="A82" s="4" t="s">
        <v>166</v>
      </c>
      <c r="B82" s="4">
        <v>3</v>
      </c>
      <c r="C82" s="4">
        <v>3</v>
      </c>
      <c r="D82" s="4">
        <v>2</v>
      </c>
      <c r="E82" s="4">
        <v>3</v>
      </c>
      <c r="F82" s="4">
        <v>3</v>
      </c>
      <c r="G82" s="4"/>
      <c r="H82" s="4"/>
      <c r="I82" s="4"/>
      <c r="J82" s="4"/>
      <c r="K82" s="4"/>
      <c r="L82" s="4"/>
      <c r="M82" s="4">
        <v>3</v>
      </c>
      <c r="N82" s="4">
        <v>3</v>
      </c>
      <c r="O82" s="4">
        <v>2</v>
      </c>
    </row>
    <row r="83" spans="1:15" ht="26" x14ac:dyDescent="0.3">
      <c r="A83" s="4" t="s">
        <v>167</v>
      </c>
      <c r="B83" s="4">
        <v>3</v>
      </c>
      <c r="C83" s="4">
        <v>3</v>
      </c>
      <c r="D83" s="4">
        <v>2</v>
      </c>
      <c r="E83" s="4">
        <v>3</v>
      </c>
      <c r="F83" s="4">
        <v>3</v>
      </c>
      <c r="G83" s="4"/>
      <c r="H83" s="4"/>
      <c r="I83" s="4"/>
      <c r="J83" s="4"/>
      <c r="K83" s="4"/>
      <c r="L83" s="4"/>
      <c r="M83" s="4">
        <v>3</v>
      </c>
      <c r="N83" s="4">
        <v>3</v>
      </c>
      <c r="O83" s="4">
        <v>2</v>
      </c>
    </row>
    <row r="84" spans="1:15" ht="13" x14ac:dyDescent="0.3">
      <c r="A84" s="8" t="s">
        <v>261</v>
      </c>
      <c r="B84" s="4">
        <v>2.6</v>
      </c>
      <c r="C84" s="4">
        <v>2.6</v>
      </c>
      <c r="D84" s="4">
        <v>1.8</v>
      </c>
      <c r="E84" s="4">
        <v>2.6</v>
      </c>
      <c r="F84" s="4">
        <v>2.6</v>
      </c>
      <c r="G84" s="4"/>
      <c r="H84" s="4"/>
      <c r="I84" s="4"/>
      <c r="J84" s="4"/>
      <c r="K84" s="4"/>
      <c r="L84" s="4"/>
      <c r="M84" s="4">
        <v>3</v>
      </c>
      <c r="N84" s="4">
        <v>2.6</v>
      </c>
      <c r="O84" s="4">
        <v>1.8</v>
      </c>
    </row>
    <row r="85" spans="1:15" ht="13" x14ac:dyDescent="0.3">
      <c r="A85" s="8" t="s">
        <v>262</v>
      </c>
      <c r="B85" s="5" t="s">
        <v>2</v>
      </c>
      <c r="C85" s="5" t="s">
        <v>3</v>
      </c>
      <c r="D85" s="5" t="s">
        <v>4</v>
      </c>
      <c r="E85" s="5" t="s">
        <v>5</v>
      </c>
      <c r="F85" s="5" t="s">
        <v>6</v>
      </c>
      <c r="G85" s="5" t="s">
        <v>7</v>
      </c>
      <c r="H85" s="5" t="s">
        <v>8</v>
      </c>
      <c r="I85" s="5" t="s">
        <v>9</v>
      </c>
      <c r="J85" s="5" t="s">
        <v>10</v>
      </c>
      <c r="K85" s="5" t="s">
        <v>11</v>
      </c>
      <c r="L85" s="5" t="s">
        <v>12</v>
      </c>
      <c r="M85" s="5" t="s">
        <v>13</v>
      </c>
      <c r="N85" s="5" t="s">
        <v>14</v>
      </c>
      <c r="O85" s="5" t="s">
        <v>15</v>
      </c>
    </row>
    <row r="86" spans="1:15" ht="39" x14ac:dyDescent="0.3">
      <c r="A86" s="38" t="s">
        <v>246</v>
      </c>
      <c r="B86" s="16">
        <v>1</v>
      </c>
      <c r="C86" s="16">
        <v>1</v>
      </c>
      <c r="D86" s="16">
        <v>1</v>
      </c>
      <c r="E86" s="16">
        <v>1</v>
      </c>
      <c r="F86" s="16">
        <v>1</v>
      </c>
      <c r="G86" s="16"/>
      <c r="H86" s="16"/>
      <c r="I86" s="16"/>
      <c r="J86" s="16"/>
      <c r="K86" s="16"/>
      <c r="L86" s="16"/>
      <c r="M86" s="16">
        <v>3</v>
      </c>
      <c r="N86" s="16">
        <v>1</v>
      </c>
      <c r="O86" s="16">
        <v>1</v>
      </c>
    </row>
    <row r="87" spans="1:15" ht="26" x14ac:dyDescent="0.3">
      <c r="A87" s="38" t="s">
        <v>247</v>
      </c>
      <c r="B87" s="16">
        <v>1</v>
      </c>
      <c r="C87" s="16">
        <v>1</v>
      </c>
      <c r="D87" s="16">
        <v>1</v>
      </c>
      <c r="E87" s="16">
        <v>1</v>
      </c>
      <c r="F87" s="16">
        <v>1</v>
      </c>
      <c r="G87" s="16"/>
      <c r="H87" s="16"/>
      <c r="I87" s="16"/>
      <c r="J87" s="16"/>
      <c r="K87" s="16"/>
      <c r="L87" s="16"/>
      <c r="M87" s="16">
        <v>3</v>
      </c>
      <c r="N87" s="16">
        <v>1</v>
      </c>
      <c r="O87" s="16">
        <v>1</v>
      </c>
    </row>
    <row r="88" spans="1:15" ht="26" x14ac:dyDescent="0.3">
      <c r="A88" s="39" t="s">
        <v>248</v>
      </c>
      <c r="B88" s="16">
        <v>3</v>
      </c>
      <c r="C88" s="16">
        <v>3</v>
      </c>
      <c r="D88" s="16">
        <v>2</v>
      </c>
      <c r="E88" s="16">
        <v>3</v>
      </c>
      <c r="F88" s="16">
        <v>3</v>
      </c>
      <c r="G88" s="16"/>
      <c r="H88" s="16"/>
      <c r="I88" s="16"/>
      <c r="J88" s="16"/>
      <c r="K88" s="16"/>
      <c r="L88" s="16"/>
      <c r="M88" s="16">
        <v>3</v>
      </c>
      <c r="N88" s="16">
        <v>3</v>
      </c>
      <c r="O88" s="16">
        <v>2</v>
      </c>
    </row>
    <row r="89" spans="1:15" ht="13" x14ac:dyDescent="0.3">
      <c r="A89" s="8" t="s">
        <v>249</v>
      </c>
      <c r="B89" s="16">
        <v>3</v>
      </c>
      <c r="C89" s="16">
        <v>3</v>
      </c>
      <c r="D89" s="16">
        <v>2</v>
      </c>
      <c r="E89" s="16">
        <v>3</v>
      </c>
      <c r="F89" s="16">
        <v>3</v>
      </c>
      <c r="G89" s="16"/>
      <c r="H89" s="16"/>
      <c r="I89" s="16"/>
      <c r="J89" s="16"/>
      <c r="K89" s="16"/>
      <c r="L89" s="16"/>
      <c r="M89" s="16">
        <v>3</v>
      </c>
      <c r="N89" s="16">
        <v>3</v>
      </c>
      <c r="O89" s="16">
        <v>2</v>
      </c>
    </row>
    <row r="90" spans="1:15" ht="26" x14ac:dyDescent="0.3">
      <c r="A90" s="38" t="s">
        <v>250</v>
      </c>
      <c r="B90" s="16">
        <v>1</v>
      </c>
      <c r="C90" s="16">
        <v>1</v>
      </c>
      <c r="D90" s="16">
        <v>1</v>
      </c>
      <c r="E90" s="16">
        <v>1</v>
      </c>
      <c r="F90" s="16">
        <v>1</v>
      </c>
      <c r="G90" s="16"/>
      <c r="H90" s="16"/>
      <c r="I90" s="16"/>
      <c r="J90" s="16"/>
      <c r="K90" s="16"/>
      <c r="L90" s="16"/>
      <c r="M90" s="16">
        <v>3</v>
      </c>
      <c r="N90" s="16">
        <v>1</v>
      </c>
      <c r="O90" s="16">
        <v>1</v>
      </c>
    </row>
    <row r="91" spans="1:15" ht="13" x14ac:dyDescent="0.3">
      <c r="A91" s="8" t="s">
        <v>262</v>
      </c>
      <c r="B91" s="5">
        <f t="shared" ref="B91:F91" si="11">AVERAGE(B86:B90)</f>
        <v>1.8</v>
      </c>
      <c r="C91" s="5">
        <f t="shared" si="11"/>
        <v>1.8</v>
      </c>
      <c r="D91" s="5">
        <f t="shared" si="11"/>
        <v>1.4</v>
      </c>
      <c r="E91" s="5">
        <f t="shared" si="11"/>
        <v>1.8</v>
      </c>
      <c r="F91" s="5">
        <f t="shared" si="11"/>
        <v>1.8</v>
      </c>
      <c r="G91" s="5"/>
      <c r="H91" s="5"/>
      <c r="I91" s="5"/>
      <c r="J91" s="5"/>
      <c r="K91" s="5"/>
      <c r="L91" s="5"/>
      <c r="M91" s="5">
        <f t="shared" ref="M91:O91" si="12">AVERAGE(M86:M90)</f>
        <v>3</v>
      </c>
      <c r="N91" s="5">
        <f t="shared" si="12"/>
        <v>1.8</v>
      </c>
      <c r="O91" s="5">
        <f t="shared" si="12"/>
        <v>1.4</v>
      </c>
    </row>
    <row r="92" spans="1:15" ht="13" x14ac:dyDescent="0.3">
      <c r="A92" s="30" t="s">
        <v>271</v>
      </c>
      <c r="B92" s="56" t="s">
        <v>2</v>
      </c>
      <c r="C92" s="56" t="s">
        <v>3</v>
      </c>
      <c r="D92" s="56" t="s">
        <v>4</v>
      </c>
      <c r="E92" s="56" t="s">
        <v>5</v>
      </c>
      <c r="F92" s="56" t="s">
        <v>6</v>
      </c>
      <c r="G92" s="56" t="s">
        <v>7</v>
      </c>
      <c r="H92" s="56" t="s">
        <v>8</v>
      </c>
      <c r="I92" s="56" t="s">
        <v>9</v>
      </c>
      <c r="J92" s="56" t="s">
        <v>10</v>
      </c>
      <c r="K92" s="56" t="s">
        <v>11</v>
      </c>
      <c r="L92" s="56" t="s">
        <v>12</v>
      </c>
      <c r="M92" s="56" t="s">
        <v>13</v>
      </c>
      <c r="N92" s="56" t="s">
        <v>14</v>
      </c>
      <c r="O92" s="56" t="s">
        <v>15</v>
      </c>
    </row>
    <row r="93" spans="1:15" ht="14" x14ac:dyDescent="0.3">
      <c r="A93" s="55" t="s">
        <v>266</v>
      </c>
      <c r="B93" s="57">
        <v>1</v>
      </c>
      <c r="C93" s="57">
        <v>1</v>
      </c>
      <c r="D93" s="57">
        <v>1</v>
      </c>
      <c r="E93" s="57">
        <v>1</v>
      </c>
      <c r="F93" s="57">
        <v>1</v>
      </c>
      <c r="G93" s="57"/>
      <c r="H93" s="57"/>
      <c r="I93" s="57"/>
      <c r="J93" s="57"/>
      <c r="K93" s="57"/>
      <c r="L93" s="57"/>
      <c r="M93" s="57">
        <v>3</v>
      </c>
      <c r="N93" s="57">
        <v>1</v>
      </c>
      <c r="O93" s="57">
        <v>1</v>
      </c>
    </row>
    <row r="94" spans="1:15" ht="14" x14ac:dyDescent="0.3">
      <c r="A94" s="55" t="s">
        <v>267</v>
      </c>
      <c r="B94" s="57">
        <v>3</v>
      </c>
      <c r="C94" s="57">
        <v>3</v>
      </c>
      <c r="D94" s="57">
        <v>3</v>
      </c>
      <c r="E94" s="57">
        <v>3</v>
      </c>
      <c r="F94" s="57">
        <v>3</v>
      </c>
      <c r="G94" s="57"/>
      <c r="H94" s="57"/>
      <c r="I94" s="57"/>
      <c r="J94" s="57"/>
      <c r="K94" s="57"/>
      <c r="L94" s="57"/>
      <c r="M94" s="57">
        <v>3</v>
      </c>
      <c r="N94" s="57">
        <v>3</v>
      </c>
      <c r="O94" s="57">
        <v>3</v>
      </c>
    </row>
    <row r="95" spans="1:15" ht="26" x14ac:dyDescent="0.3">
      <c r="A95" s="55" t="s">
        <v>268</v>
      </c>
      <c r="B95" s="57">
        <v>3</v>
      </c>
      <c r="C95" s="57">
        <v>3</v>
      </c>
      <c r="D95" s="57">
        <v>3</v>
      </c>
      <c r="E95" s="57">
        <v>2</v>
      </c>
      <c r="F95" s="57">
        <v>3</v>
      </c>
      <c r="G95" s="57"/>
      <c r="H95" s="57"/>
      <c r="I95" s="57"/>
      <c r="J95" s="57"/>
      <c r="K95" s="57"/>
      <c r="L95" s="57"/>
      <c r="M95" s="57">
        <v>3</v>
      </c>
      <c r="N95" s="57">
        <v>3</v>
      </c>
      <c r="O95" s="57">
        <v>2</v>
      </c>
    </row>
    <row r="96" spans="1:15" ht="14" x14ac:dyDescent="0.3">
      <c r="A96" s="55" t="s">
        <v>269</v>
      </c>
      <c r="B96" s="57">
        <v>3</v>
      </c>
      <c r="C96" s="57">
        <v>3</v>
      </c>
      <c r="D96" s="57">
        <v>3</v>
      </c>
      <c r="E96" s="57">
        <v>2</v>
      </c>
      <c r="F96" s="57">
        <v>3</v>
      </c>
      <c r="G96" s="57"/>
      <c r="H96" s="57"/>
      <c r="I96" s="57"/>
      <c r="J96" s="57"/>
      <c r="K96" s="57"/>
      <c r="L96" s="57"/>
      <c r="M96" s="57">
        <v>3</v>
      </c>
      <c r="N96" s="57">
        <v>3</v>
      </c>
      <c r="O96" s="57">
        <v>2</v>
      </c>
    </row>
    <row r="97" spans="1:15" ht="26" x14ac:dyDescent="0.3">
      <c r="A97" s="55" t="s">
        <v>270</v>
      </c>
      <c r="B97" s="57">
        <v>1</v>
      </c>
      <c r="C97" s="57">
        <v>1</v>
      </c>
      <c r="D97" s="57">
        <v>1</v>
      </c>
      <c r="E97" s="57">
        <v>1</v>
      </c>
      <c r="F97" s="57">
        <v>1</v>
      </c>
      <c r="G97" s="57"/>
      <c r="H97" s="57"/>
      <c r="I97" s="57"/>
      <c r="J97" s="57"/>
      <c r="K97" s="57"/>
      <c r="L97" s="57"/>
      <c r="M97" s="57">
        <v>3</v>
      </c>
      <c r="N97" s="57">
        <v>1</v>
      </c>
      <c r="O97" s="57">
        <v>1</v>
      </c>
    </row>
    <row r="98" spans="1:15" ht="13" x14ac:dyDescent="0.3">
      <c r="A98" s="30" t="s">
        <v>271</v>
      </c>
      <c r="B98" s="54">
        <f t="shared" ref="B98:F98" si="13">AVERAGE(B93:B97)</f>
        <v>2.2000000000000002</v>
      </c>
      <c r="C98" s="54">
        <f t="shared" si="13"/>
        <v>2.2000000000000002</v>
      </c>
      <c r="D98" s="54">
        <f t="shared" si="13"/>
        <v>2.2000000000000002</v>
      </c>
      <c r="E98" s="54">
        <f t="shared" si="13"/>
        <v>1.8</v>
      </c>
      <c r="F98" s="54">
        <f t="shared" si="13"/>
        <v>2.2000000000000002</v>
      </c>
      <c r="G98" s="54"/>
      <c r="H98" s="54"/>
      <c r="I98" s="54"/>
      <c r="J98" s="54"/>
      <c r="K98" s="54"/>
      <c r="L98" s="54"/>
      <c r="M98" s="54">
        <f t="shared" ref="M98:O98" si="14">AVERAGE(M93:M97)</f>
        <v>3</v>
      </c>
      <c r="N98" s="54">
        <f t="shared" si="14"/>
        <v>2.2000000000000002</v>
      </c>
      <c r="O98" s="54">
        <f t="shared" si="14"/>
        <v>1.8</v>
      </c>
    </row>
    <row r="99" spans="1:15" ht="13" x14ac:dyDescent="0.3">
      <c r="A99" s="30" t="s">
        <v>263</v>
      </c>
      <c r="B99" s="4" t="s">
        <v>2</v>
      </c>
      <c r="C99" s="4" t="s">
        <v>3</v>
      </c>
      <c r="D99" s="4" t="s">
        <v>4</v>
      </c>
      <c r="E99" s="4" t="s">
        <v>5</v>
      </c>
      <c r="F99" s="4" t="s">
        <v>6</v>
      </c>
      <c r="G99" s="4" t="s">
        <v>7</v>
      </c>
      <c r="H99" s="4" t="s">
        <v>8</v>
      </c>
      <c r="I99" s="4" t="s">
        <v>9</v>
      </c>
      <c r="J99" s="4" t="s">
        <v>10</v>
      </c>
      <c r="K99" s="4" t="s">
        <v>11</v>
      </c>
      <c r="L99" s="4" t="s">
        <v>12</v>
      </c>
      <c r="M99" s="4" t="s">
        <v>13</v>
      </c>
      <c r="N99" s="4" t="s">
        <v>14</v>
      </c>
      <c r="O99" s="4" t="s">
        <v>15</v>
      </c>
    </row>
    <row r="100" spans="1:15" ht="13" x14ac:dyDescent="0.3">
      <c r="A100" s="31" t="s">
        <v>168</v>
      </c>
      <c r="B100" s="16">
        <v>3</v>
      </c>
      <c r="C100" s="16">
        <v>3</v>
      </c>
      <c r="D100" s="16">
        <v>3</v>
      </c>
      <c r="E100" s="16">
        <v>3</v>
      </c>
      <c r="F100" s="16">
        <v>3</v>
      </c>
      <c r="G100" s="16"/>
      <c r="H100" s="16"/>
      <c r="I100" s="16"/>
      <c r="J100" s="16"/>
      <c r="K100" s="16"/>
      <c r="L100" s="16"/>
      <c r="M100" s="16">
        <v>3</v>
      </c>
      <c r="N100" s="16">
        <v>3</v>
      </c>
      <c r="O100" s="16">
        <v>3</v>
      </c>
    </row>
    <row r="101" spans="1:15" ht="13" x14ac:dyDescent="0.3">
      <c r="A101" s="31" t="s">
        <v>169</v>
      </c>
      <c r="B101" s="16">
        <v>3</v>
      </c>
      <c r="C101" s="16">
        <v>3</v>
      </c>
      <c r="D101" s="16">
        <v>2</v>
      </c>
      <c r="E101" s="16">
        <v>3</v>
      </c>
      <c r="F101" s="16">
        <v>3</v>
      </c>
      <c r="G101" s="16"/>
      <c r="H101" s="16"/>
      <c r="I101" s="16"/>
      <c r="J101" s="16"/>
      <c r="K101" s="16"/>
      <c r="L101" s="16"/>
      <c r="M101" s="16">
        <v>3</v>
      </c>
      <c r="N101" s="16">
        <v>3</v>
      </c>
      <c r="O101" s="16">
        <v>2</v>
      </c>
    </row>
    <row r="102" spans="1:15" ht="26" x14ac:dyDescent="0.3">
      <c r="A102" s="31" t="s">
        <v>170</v>
      </c>
      <c r="B102" s="16">
        <v>3</v>
      </c>
      <c r="C102" s="16">
        <v>3</v>
      </c>
      <c r="D102" s="16">
        <v>3</v>
      </c>
      <c r="E102" s="16">
        <v>3</v>
      </c>
      <c r="F102" s="16">
        <v>3</v>
      </c>
      <c r="G102" s="16"/>
      <c r="H102" s="16"/>
      <c r="I102" s="16"/>
      <c r="J102" s="16"/>
      <c r="K102" s="16"/>
      <c r="L102" s="16"/>
      <c r="M102" s="16">
        <v>3</v>
      </c>
      <c r="N102" s="16">
        <v>3</v>
      </c>
      <c r="O102" s="16">
        <v>3</v>
      </c>
    </row>
    <row r="103" spans="1:15" ht="26" x14ac:dyDescent="0.3">
      <c r="A103" s="31" t="s">
        <v>171</v>
      </c>
      <c r="B103" s="16">
        <v>3</v>
      </c>
      <c r="C103" s="16">
        <v>3</v>
      </c>
      <c r="D103" s="16">
        <v>2</v>
      </c>
      <c r="E103" s="16">
        <v>3</v>
      </c>
      <c r="F103" s="16">
        <v>3</v>
      </c>
      <c r="G103" s="16"/>
      <c r="H103" s="16"/>
      <c r="I103" s="16"/>
      <c r="J103" s="16"/>
      <c r="K103" s="16"/>
      <c r="L103" s="16"/>
      <c r="M103" s="16">
        <v>3</v>
      </c>
      <c r="N103" s="16">
        <v>3</v>
      </c>
      <c r="O103" s="16">
        <v>2</v>
      </c>
    </row>
    <row r="104" spans="1:15" ht="26" x14ac:dyDescent="0.3">
      <c r="A104" s="31" t="s">
        <v>172</v>
      </c>
      <c r="B104" s="16">
        <v>3</v>
      </c>
      <c r="C104" s="16">
        <v>3</v>
      </c>
      <c r="D104" s="16">
        <v>2</v>
      </c>
      <c r="E104" s="16">
        <v>3</v>
      </c>
      <c r="F104" s="16">
        <v>3</v>
      </c>
      <c r="G104" s="16"/>
      <c r="H104" s="16"/>
      <c r="I104" s="16"/>
      <c r="J104" s="16"/>
      <c r="K104" s="16"/>
      <c r="L104" s="16"/>
      <c r="M104" s="16">
        <v>3</v>
      </c>
      <c r="N104" s="16">
        <v>3</v>
      </c>
      <c r="O104" s="16">
        <v>2</v>
      </c>
    </row>
    <row r="105" spans="1:15" ht="13" x14ac:dyDescent="0.3">
      <c r="A105" s="30" t="s">
        <v>263</v>
      </c>
      <c r="B105" s="5">
        <f t="shared" ref="B105:F105" si="15">AVERAGE(B100:B104)</f>
        <v>3</v>
      </c>
      <c r="C105" s="5">
        <f t="shared" si="15"/>
        <v>3</v>
      </c>
      <c r="D105" s="5">
        <f t="shared" si="15"/>
        <v>2.4</v>
      </c>
      <c r="E105" s="5">
        <f t="shared" si="15"/>
        <v>3</v>
      </c>
      <c r="F105" s="5">
        <f t="shared" si="15"/>
        <v>3</v>
      </c>
      <c r="G105" s="5"/>
      <c r="H105" s="5"/>
      <c r="I105" s="5"/>
      <c r="J105" s="5"/>
      <c r="K105" s="5"/>
      <c r="L105" s="5"/>
      <c r="M105" s="5">
        <f t="shared" ref="M105:O105" si="16">AVERAGE(M100:M104)</f>
        <v>3</v>
      </c>
      <c r="N105" s="5">
        <f t="shared" si="16"/>
        <v>3</v>
      </c>
      <c r="O105" s="5">
        <f t="shared" si="16"/>
        <v>2.4</v>
      </c>
    </row>
    <row r="106" spans="1:15" ht="13" x14ac:dyDescent="0.3">
      <c r="A106" s="30" t="s">
        <v>264</v>
      </c>
      <c r="B106" s="4" t="s">
        <v>2</v>
      </c>
      <c r="C106" s="4" t="s">
        <v>3</v>
      </c>
      <c r="D106" s="4" t="s">
        <v>4</v>
      </c>
      <c r="E106" s="4" t="s">
        <v>5</v>
      </c>
      <c r="F106" s="4" t="s">
        <v>6</v>
      </c>
      <c r="G106" s="4" t="s">
        <v>7</v>
      </c>
      <c r="H106" s="4" t="s">
        <v>8</v>
      </c>
      <c r="I106" s="4" t="s">
        <v>9</v>
      </c>
      <c r="J106" s="4" t="s">
        <v>10</v>
      </c>
      <c r="K106" s="4" t="s">
        <v>11</v>
      </c>
      <c r="L106" s="4" t="s">
        <v>12</v>
      </c>
      <c r="M106" s="4" t="s">
        <v>13</v>
      </c>
      <c r="N106" s="4" t="s">
        <v>14</v>
      </c>
      <c r="O106" s="4" t="s">
        <v>15</v>
      </c>
    </row>
    <row r="107" spans="1:15" ht="26" x14ac:dyDescent="0.3">
      <c r="A107" s="31" t="s">
        <v>173</v>
      </c>
      <c r="B107" s="4">
        <v>1</v>
      </c>
      <c r="C107" s="4">
        <v>1</v>
      </c>
      <c r="D107" s="4">
        <v>1</v>
      </c>
      <c r="E107" s="4">
        <v>1</v>
      </c>
      <c r="F107" s="4">
        <v>1</v>
      </c>
      <c r="G107" s="4"/>
      <c r="H107" s="4"/>
      <c r="I107" s="4"/>
      <c r="J107" s="4"/>
      <c r="K107" s="4"/>
      <c r="L107" s="4"/>
      <c r="M107" s="4">
        <v>3</v>
      </c>
      <c r="N107" s="4">
        <v>1</v>
      </c>
      <c r="O107" s="4">
        <v>1</v>
      </c>
    </row>
    <row r="108" spans="1:15" ht="26" x14ac:dyDescent="0.3">
      <c r="A108" s="31" t="s">
        <v>174</v>
      </c>
      <c r="B108" s="4">
        <v>3</v>
      </c>
      <c r="C108" s="4">
        <v>3</v>
      </c>
      <c r="D108" s="4">
        <v>3</v>
      </c>
      <c r="E108" s="4">
        <v>3</v>
      </c>
      <c r="F108" s="4">
        <v>3</v>
      </c>
      <c r="G108" s="4"/>
      <c r="H108" s="4"/>
      <c r="I108" s="4"/>
      <c r="J108" s="4"/>
      <c r="K108" s="4"/>
      <c r="L108" s="4"/>
      <c r="M108" s="4">
        <v>3</v>
      </c>
      <c r="N108" s="4">
        <v>3</v>
      </c>
      <c r="O108" s="4">
        <v>3</v>
      </c>
    </row>
    <row r="109" spans="1:15" ht="13" x14ac:dyDescent="0.3">
      <c r="A109" s="31" t="s">
        <v>175</v>
      </c>
      <c r="B109" s="4">
        <v>3</v>
      </c>
      <c r="C109" s="4">
        <v>3</v>
      </c>
      <c r="D109" s="4">
        <v>3</v>
      </c>
      <c r="E109" s="4">
        <v>3</v>
      </c>
      <c r="F109" s="4">
        <v>3</v>
      </c>
      <c r="G109" s="4"/>
      <c r="H109" s="4"/>
      <c r="I109" s="4"/>
      <c r="J109" s="4"/>
      <c r="K109" s="4"/>
      <c r="L109" s="4"/>
      <c r="M109" s="4">
        <v>3</v>
      </c>
      <c r="N109" s="4">
        <v>3</v>
      </c>
      <c r="O109" s="4">
        <v>3</v>
      </c>
    </row>
    <row r="110" spans="1:15" ht="26" x14ac:dyDescent="0.3">
      <c r="A110" s="31" t="s">
        <v>176</v>
      </c>
      <c r="B110" s="4">
        <v>3</v>
      </c>
      <c r="C110" s="4">
        <v>3</v>
      </c>
      <c r="D110" s="4">
        <v>3</v>
      </c>
      <c r="E110" s="4">
        <v>3</v>
      </c>
      <c r="F110" s="4">
        <v>3</v>
      </c>
      <c r="G110" s="4"/>
      <c r="H110" s="4"/>
      <c r="I110" s="4"/>
      <c r="J110" s="4"/>
      <c r="K110" s="4"/>
      <c r="L110" s="4"/>
      <c r="M110" s="4">
        <v>3</v>
      </c>
      <c r="N110" s="4">
        <v>3</v>
      </c>
      <c r="O110" s="4">
        <v>3</v>
      </c>
    </row>
    <row r="111" spans="1:15" ht="13" x14ac:dyDescent="0.3">
      <c r="A111" s="31" t="s">
        <v>177</v>
      </c>
      <c r="B111" s="16">
        <v>3</v>
      </c>
      <c r="C111" s="16">
        <v>3</v>
      </c>
      <c r="D111" s="16">
        <v>2</v>
      </c>
      <c r="E111" s="16">
        <v>3</v>
      </c>
      <c r="F111" s="16">
        <v>3</v>
      </c>
      <c r="G111" s="16"/>
      <c r="H111" s="16"/>
      <c r="I111" s="16"/>
      <c r="J111" s="16"/>
      <c r="K111" s="16"/>
      <c r="L111" s="16"/>
      <c r="M111" s="16">
        <v>3</v>
      </c>
      <c r="N111" s="16">
        <v>3</v>
      </c>
      <c r="O111" s="16">
        <v>2</v>
      </c>
    </row>
    <row r="112" spans="1:15" ht="26" x14ac:dyDescent="0.3">
      <c r="A112" s="31" t="s">
        <v>178</v>
      </c>
      <c r="B112" s="16">
        <v>3</v>
      </c>
      <c r="C112" s="16">
        <v>3</v>
      </c>
      <c r="D112" s="16">
        <v>2</v>
      </c>
      <c r="E112" s="16">
        <v>3</v>
      </c>
      <c r="F112" s="16">
        <v>3</v>
      </c>
      <c r="G112" s="16"/>
      <c r="H112" s="16"/>
      <c r="I112" s="16"/>
      <c r="J112" s="16"/>
      <c r="K112" s="16"/>
      <c r="L112" s="16"/>
      <c r="M112" s="16">
        <v>3</v>
      </c>
      <c r="N112" s="16">
        <v>3</v>
      </c>
      <c r="O112" s="16">
        <v>2</v>
      </c>
    </row>
    <row r="113" spans="1:15" ht="13" x14ac:dyDescent="0.3">
      <c r="A113" s="30" t="s">
        <v>264</v>
      </c>
      <c r="B113" s="5">
        <f t="shared" ref="B113:F113" si="17">AVERAGE(B108:B112)</f>
        <v>3</v>
      </c>
      <c r="C113" s="5">
        <f t="shared" si="17"/>
        <v>3</v>
      </c>
      <c r="D113" s="5">
        <f t="shared" si="17"/>
        <v>2.6</v>
      </c>
      <c r="E113" s="5">
        <f t="shared" si="17"/>
        <v>3</v>
      </c>
      <c r="F113" s="5">
        <f t="shared" si="17"/>
        <v>3</v>
      </c>
      <c r="G113" s="5"/>
      <c r="H113" s="5"/>
      <c r="I113" s="5"/>
      <c r="J113" s="5"/>
      <c r="K113" s="5"/>
      <c r="L113" s="5"/>
      <c r="M113" s="5">
        <f t="shared" ref="M113:O113" si="18">AVERAGE(M108:M112)</f>
        <v>3</v>
      </c>
      <c r="N113" s="5">
        <f t="shared" si="18"/>
        <v>3</v>
      </c>
      <c r="O113" s="5">
        <f t="shared" si="18"/>
        <v>2.6</v>
      </c>
    </row>
    <row r="114" spans="1:15" ht="13" x14ac:dyDescent="0.3">
      <c r="A114" s="30" t="s">
        <v>265</v>
      </c>
      <c r="B114" s="4" t="s">
        <v>2</v>
      </c>
      <c r="C114" s="4" t="s">
        <v>3</v>
      </c>
      <c r="D114" s="4" t="s">
        <v>4</v>
      </c>
      <c r="E114" s="4" t="s">
        <v>5</v>
      </c>
      <c r="F114" s="4" t="s">
        <v>6</v>
      </c>
      <c r="G114" s="4" t="s">
        <v>7</v>
      </c>
      <c r="H114" s="4" t="s">
        <v>8</v>
      </c>
      <c r="I114" s="4" t="s">
        <v>9</v>
      </c>
      <c r="J114" s="4" t="s">
        <v>10</v>
      </c>
      <c r="K114" s="4" t="s">
        <v>11</v>
      </c>
      <c r="L114" s="4" t="s">
        <v>12</v>
      </c>
      <c r="M114" s="4" t="s">
        <v>13</v>
      </c>
      <c r="N114" s="4" t="s">
        <v>14</v>
      </c>
      <c r="O114" s="4" t="s">
        <v>15</v>
      </c>
    </row>
    <row r="115" spans="1:15" ht="13" x14ac:dyDescent="0.3">
      <c r="A115" s="31" t="s">
        <v>179</v>
      </c>
      <c r="B115" s="4">
        <v>3</v>
      </c>
      <c r="C115" s="4">
        <v>3</v>
      </c>
      <c r="D115" s="4">
        <v>3</v>
      </c>
      <c r="E115" s="4">
        <v>3</v>
      </c>
      <c r="F115" s="4">
        <v>3</v>
      </c>
      <c r="G115" s="4"/>
      <c r="H115" s="4"/>
      <c r="I115" s="4"/>
      <c r="J115" s="4"/>
      <c r="K115" s="4"/>
      <c r="L115" s="4"/>
      <c r="M115" s="4">
        <v>3</v>
      </c>
      <c r="N115" s="4">
        <v>3</v>
      </c>
      <c r="O115" s="4">
        <v>3</v>
      </c>
    </row>
    <row r="116" spans="1:15" ht="26" x14ac:dyDescent="0.3">
      <c r="A116" s="31" t="s">
        <v>180</v>
      </c>
      <c r="B116" s="4">
        <v>3</v>
      </c>
      <c r="C116" s="4">
        <v>3</v>
      </c>
      <c r="D116" s="4">
        <v>3</v>
      </c>
      <c r="E116" s="4">
        <v>3</v>
      </c>
      <c r="F116" s="4">
        <v>3</v>
      </c>
      <c r="G116" s="4"/>
      <c r="H116" s="4"/>
      <c r="I116" s="4"/>
      <c r="J116" s="4"/>
      <c r="K116" s="4"/>
      <c r="L116" s="4"/>
      <c r="M116" s="4">
        <v>3</v>
      </c>
      <c r="N116" s="4">
        <v>3</v>
      </c>
      <c r="O116" s="4">
        <v>3</v>
      </c>
    </row>
    <row r="117" spans="1:15" ht="26" x14ac:dyDescent="0.3">
      <c r="A117" s="31" t="s">
        <v>181</v>
      </c>
      <c r="B117" s="4">
        <v>3</v>
      </c>
      <c r="C117" s="4">
        <v>3</v>
      </c>
      <c r="D117" s="4">
        <v>3</v>
      </c>
      <c r="E117" s="4">
        <v>3</v>
      </c>
      <c r="F117" s="4">
        <v>3</v>
      </c>
      <c r="G117" s="4"/>
      <c r="H117" s="4"/>
      <c r="I117" s="4"/>
      <c r="J117" s="4"/>
      <c r="K117" s="4"/>
      <c r="L117" s="4"/>
      <c r="M117" s="4">
        <v>3</v>
      </c>
      <c r="N117" s="4">
        <v>3</v>
      </c>
      <c r="O117" s="4">
        <v>3</v>
      </c>
    </row>
    <row r="118" spans="1:15" ht="26" x14ac:dyDescent="0.3">
      <c r="A118" s="31" t="s">
        <v>182</v>
      </c>
      <c r="B118" s="16">
        <v>3</v>
      </c>
      <c r="C118" s="16">
        <v>3</v>
      </c>
      <c r="D118" s="16">
        <v>2</v>
      </c>
      <c r="E118" s="16">
        <v>3</v>
      </c>
      <c r="F118" s="16">
        <v>3</v>
      </c>
      <c r="G118" s="16"/>
      <c r="H118" s="16"/>
      <c r="I118" s="16"/>
      <c r="J118" s="16"/>
      <c r="K118" s="16"/>
      <c r="L118" s="16"/>
      <c r="M118" s="16">
        <v>3</v>
      </c>
      <c r="N118" s="16">
        <v>3</v>
      </c>
      <c r="O118" s="16">
        <v>2</v>
      </c>
    </row>
    <row r="119" spans="1:15" ht="13" x14ac:dyDescent="0.3">
      <c r="A119" s="30" t="s">
        <v>265</v>
      </c>
      <c r="B119" s="5">
        <f t="shared" ref="B119:F119" si="19">AVERAGE(B115:B118)</f>
        <v>3</v>
      </c>
      <c r="C119" s="5">
        <f t="shared" si="19"/>
        <v>3</v>
      </c>
      <c r="D119" s="5">
        <f t="shared" si="19"/>
        <v>2.75</v>
      </c>
      <c r="E119" s="5">
        <f t="shared" si="19"/>
        <v>3</v>
      </c>
      <c r="F119" s="5">
        <f t="shared" si="19"/>
        <v>3</v>
      </c>
      <c r="G119" s="4"/>
      <c r="H119" s="4"/>
      <c r="I119" s="4"/>
      <c r="J119" s="4"/>
      <c r="K119" s="4"/>
      <c r="L119" s="4"/>
      <c r="M119" s="5">
        <f t="shared" ref="M119:O119" si="20">AVERAGE(M115:M118)</f>
        <v>3</v>
      </c>
      <c r="N119" s="5">
        <f t="shared" si="20"/>
        <v>3</v>
      </c>
      <c r="O119" s="5">
        <f t="shared" si="20"/>
        <v>2.75</v>
      </c>
    </row>
    <row r="120" spans="1:15" ht="13" x14ac:dyDescent="0.3">
      <c r="A120" s="30" t="s">
        <v>272</v>
      </c>
      <c r="B120" s="34" t="s">
        <v>2</v>
      </c>
      <c r="C120" s="34" t="s">
        <v>3</v>
      </c>
      <c r="D120" s="34" t="s">
        <v>4</v>
      </c>
      <c r="E120" s="34" t="s">
        <v>5</v>
      </c>
      <c r="F120" s="34" t="s">
        <v>6</v>
      </c>
      <c r="G120" s="34" t="s">
        <v>7</v>
      </c>
      <c r="H120" s="34" t="s">
        <v>8</v>
      </c>
      <c r="I120" s="34" t="s">
        <v>9</v>
      </c>
      <c r="J120" s="34" t="s">
        <v>10</v>
      </c>
      <c r="K120" s="34" t="s">
        <v>11</v>
      </c>
      <c r="L120" s="34" t="s">
        <v>12</v>
      </c>
      <c r="M120" s="34" t="s">
        <v>13</v>
      </c>
      <c r="N120" s="34" t="s">
        <v>14</v>
      </c>
      <c r="O120" s="34" t="s">
        <v>15</v>
      </c>
    </row>
    <row r="121" spans="1:15" ht="26" x14ac:dyDescent="0.3">
      <c r="A121" s="34" t="s">
        <v>183</v>
      </c>
      <c r="B121" s="40"/>
      <c r="C121" s="40"/>
      <c r="D121" s="40"/>
      <c r="E121" s="40"/>
      <c r="F121" s="40"/>
      <c r="G121" s="40">
        <v>1</v>
      </c>
      <c r="H121" s="40"/>
      <c r="I121" s="40">
        <v>1</v>
      </c>
      <c r="J121" s="40">
        <v>1</v>
      </c>
      <c r="K121" s="40">
        <v>1</v>
      </c>
      <c r="L121" s="40"/>
      <c r="M121" s="40">
        <v>1</v>
      </c>
      <c r="N121" s="41"/>
      <c r="O121" s="41"/>
    </row>
    <row r="122" spans="1:15" ht="26" x14ac:dyDescent="0.3">
      <c r="A122" s="34" t="s">
        <v>184</v>
      </c>
      <c r="B122" s="40"/>
      <c r="C122" s="40"/>
      <c r="D122" s="40"/>
      <c r="E122" s="40"/>
      <c r="F122" s="40"/>
      <c r="G122" s="40">
        <v>1</v>
      </c>
      <c r="H122" s="40"/>
      <c r="I122" s="40">
        <v>1</v>
      </c>
      <c r="J122" s="40">
        <v>1</v>
      </c>
      <c r="K122" s="40"/>
      <c r="L122" s="40">
        <v>2</v>
      </c>
      <c r="M122" s="40">
        <v>1</v>
      </c>
      <c r="N122" s="41"/>
      <c r="O122" s="41"/>
    </row>
    <row r="123" spans="1:15" ht="26" x14ac:dyDescent="0.3">
      <c r="A123" s="34" t="s">
        <v>185</v>
      </c>
      <c r="B123" s="40"/>
      <c r="C123" s="40"/>
      <c r="D123" s="40"/>
      <c r="E123" s="40"/>
      <c r="F123" s="40"/>
      <c r="G123" s="40">
        <v>1</v>
      </c>
      <c r="H123" s="40">
        <v>3</v>
      </c>
      <c r="I123" s="40">
        <v>1</v>
      </c>
      <c r="J123" s="40"/>
      <c r="K123" s="40">
        <v>2</v>
      </c>
      <c r="L123" s="40"/>
      <c r="M123" s="40">
        <v>1</v>
      </c>
      <c r="N123" s="41"/>
      <c r="O123" s="41"/>
    </row>
    <row r="124" spans="1:15" ht="26" x14ac:dyDescent="0.3">
      <c r="A124" s="34" t="s">
        <v>186</v>
      </c>
      <c r="B124" s="40"/>
      <c r="C124" s="40"/>
      <c r="D124" s="40"/>
      <c r="E124" s="40"/>
      <c r="F124" s="40"/>
      <c r="G124" s="40">
        <v>3</v>
      </c>
      <c r="H124" s="40">
        <v>2</v>
      </c>
      <c r="I124" s="40">
        <v>1</v>
      </c>
      <c r="J124" s="40">
        <v>3</v>
      </c>
      <c r="K124" s="40">
        <v>2</v>
      </c>
      <c r="L124" s="40">
        <v>1</v>
      </c>
      <c r="M124" s="40">
        <v>3</v>
      </c>
      <c r="N124" s="40"/>
      <c r="O124" s="40"/>
    </row>
    <row r="125" spans="1:15" ht="26" x14ac:dyDescent="0.3">
      <c r="A125" s="34" t="s">
        <v>187</v>
      </c>
      <c r="B125" s="40"/>
      <c r="C125" s="40"/>
      <c r="D125" s="40"/>
      <c r="E125" s="40"/>
      <c r="F125" s="40"/>
      <c r="G125" s="40">
        <v>3</v>
      </c>
      <c r="H125" s="40">
        <v>2</v>
      </c>
      <c r="I125" s="40">
        <v>3</v>
      </c>
      <c r="J125" s="40">
        <v>2</v>
      </c>
      <c r="K125" s="40"/>
      <c r="L125" s="40">
        <v>1</v>
      </c>
      <c r="M125" s="40">
        <v>3</v>
      </c>
      <c r="N125" s="40"/>
      <c r="O125" s="40"/>
    </row>
    <row r="126" spans="1:15" ht="13" x14ac:dyDescent="0.3">
      <c r="A126" s="30" t="s">
        <v>272</v>
      </c>
      <c r="B126" s="34"/>
      <c r="C126" s="34"/>
      <c r="D126" s="34"/>
      <c r="E126" s="34"/>
      <c r="F126" s="34"/>
      <c r="G126" s="5">
        <f t="shared" ref="G126:M126" si="21">AVERAGE(G122:G125)</f>
        <v>2</v>
      </c>
      <c r="H126" s="36">
        <f t="shared" si="21"/>
        <v>2.3333333333333335</v>
      </c>
      <c r="I126" s="5">
        <f t="shared" si="21"/>
        <v>1.5</v>
      </c>
      <c r="J126" s="5">
        <f t="shared" si="21"/>
        <v>2</v>
      </c>
      <c r="K126" s="5">
        <f t="shared" si="21"/>
        <v>2</v>
      </c>
      <c r="L126" s="36">
        <f t="shared" si="21"/>
        <v>1.3333333333333333</v>
      </c>
      <c r="M126" s="5">
        <f t="shared" si="21"/>
        <v>2</v>
      </c>
      <c r="N126" s="34"/>
      <c r="O126" s="34"/>
    </row>
    <row r="127" spans="1:15" ht="15.75" customHeight="1" x14ac:dyDescent="0.3"/>
    <row r="128" spans="1:15"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O1"/>
  </mergeCells>
  <pageMargins left="0.25" right="0.25" top="0.75" bottom="0.75" header="0.3" footer="0.3"/>
  <pageSetup paperSize="9" scale="92" fitToHeight="0" orientation="landscape" r:id="rId1"/>
  <rowBreaks count="5" manualBreakCount="5">
    <brk id="23" max="16383" man="1"/>
    <brk id="44" max="16383" man="1"/>
    <brk id="63" max="16383" man="1"/>
    <brk id="84" max="16383" man="1"/>
    <brk id="105"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001"/>
  <sheetViews>
    <sheetView view="pageBreakPreview" topLeftCell="A43" zoomScaleNormal="100" zoomScaleSheetLayoutView="100" workbookViewId="0">
      <selection activeCell="X60" sqref="X60"/>
    </sheetView>
  </sheetViews>
  <sheetFormatPr defaultColWidth="14.453125" defaultRowHeight="15" customHeight="1" x14ac:dyDescent="0.35"/>
  <cols>
    <col min="1" max="1" width="60.54296875" style="23" customWidth="1"/>
    <col min="2" max="15" width="6.26953125" style="25" customWidth="1"/>
    <col min="16" max="26" width="8.7265625" customWidth="1"/>
  </cols>
  <sheetData>
    <row r="1" spans="1:15" ht="14.5" x14ac:dyDescent="0.35">
      <c r="A1" s="1"/>
      <c r="B1" s="52"/>
      <c r="C1" s="52"/>
      <c r="D1" s="52"/>
      <c r="E1" s="52"/>
      <c r="F1" s="52"/>
      <c r="G1" s="52"/>
      <c r="H1" s="52"/>
      <c r="I1" s="52"/>
      <c r="J1" s="52"/>
      <c r="K1" s="52"/>
      <c r="L1" s="52"/>
      <c r="M1" s="52"/>
      <c r="N1" s="52"/>
      <c r="O1" s="52"/>
    </row>
    <row r="2" spans="1:15" ht="14.5" x14ac:dyDescent="0.35">
      <c r="A2" s="3" t="s">
        <v>188</v>
      </c>
      <c r="B2" s="5" t="s">
        <v>2</v>
      </c>
      <c r="C2" s="5" t="s">
        <v>3</v>
      </c>
      <c r="D2" s="5" t="s">
        <v>4</v>
      </c>
      <c r="E2" s="5" t="s">
        <v>5</v>
      </c>
      <c r="F2" s="5" t="s">
        <v>6</v>
      </c>
      <c r="G2" s="53" t="s">
        <v>7</v>
      </c>
      <c r="H2" s="53" t="s">
        <v>8</v>
      </c>
      <c r="I2" s="53" t="s">
        <v>9</v>
      </c>
      <c r="J2" s="53" t="s">
        <v>10</v>
      </c>
      <c r="K2" s="53" t="s">
        <v>11</v>
      </c>
      <c r="L2" s="53" t="s">
        <v>12</v>
      </c>
      <c r="M2" s="5" t="s">
        <v>13</v>
      </c>
      <c r="N2" s="5" t="s">
        <v>14</v>
      </c>
      <c r="O2" s="5" t="s">
        <v>15</v>
      </c>
    </row>
    <row r="3" spans="1:15" ht="26.5" x14ac:dyDescent="0.35">
      <c r="A3" s="4" t="s">
        <v>189</v>
      </c>
      <c r="B3" s="16"/>
      <c r="C3" s="5"/>
      <c r="D3" s="5"/>
      <c r="E3" s="5"/>
      <c r="F3" s="43"/>
      <c r="G3" s="5">
        <v>1</v>
      </c>
      <c r="H3" s="5">
        <v>1</v>
      </c>
      <c r="I3" s="5">
        <v>1</v>
      </c>
      <c r="J3" s="5">
        <v>1</v>
      </c>
      <c r="K3" s="5">
        <v>1</v>
      </c>
      <c r="L3" s="5">
        <v>1</v>
      </c>
      <c r="M3" s="6"/>
      <c r="N3" s="5"/>
      <c r="O3" s="5"/>
    </row>
    <row r="4" spans="1:15" ht="26.5" x14ac:dyDescent="0.35">
      <c r="A4" s="4" t="s">
        <v>190</v>
      </c>
      <c r="B4" s="16"/>
      <c r="C4" s="5"/>
      <c r="D4" s="5"/>
      <c r="E4" s="5"/>
      <c r="F4" s="43"/>
      <c r="G4" s="5">
        <v>1</v>
      </c>
      <c r="H4" s="5">
        <v>1</v>
      </c>
      <c r="I4" s="5">
        <v>1</v>
      </c>
      <c r="J4" s="5">
        <v>1</v>
      </c>
      <c r="K4" s="5">
        <v>1</v>
      </c>
      <c r="L4" s="5">
        <v>1</v>
      </c>
      <c r="M4" s="6"/>
      <c r="N4" s="5"/>
      <c r="O4" s="5"/>
    </row>
    <row r="5" spans="1:15" ht="14.5" x14ac:dyDescent="0.35">
      <c r="A5" s="4" t="s">
        <v>191</v>
      </c>
      <c r="B5" s="16"/>
      <c r="C5" s="5"/>
      <c r="D5" s="5"/>
      <c r="E5" s="5"/>
      <c r="F5" s="43"/>
      <c r="G5" s="5">
        <v>1</v>
      </c>
      <c r="H5" s="5">
        <v>1</v>
      </c>
      <c r="I5" s="5">
        <v>1</v>
      </c>
      <c r="J5" s="5">
        <v>1</v>
      </c>
      <c r="K5" s="5">
        <v>1</v>
      </c>
      <c r="L5" s="5">
        <v>1</v>
      </c>
      <c r="M5" s="6"/>
      <c r="N5" s="5"/>
      <c r="O5" s="5"/>
    </row>
    <row r="6" spans="1:15" ht="14.5" x14ac:dyDescent="0.35">
      <c r="A6" s="4" t="s">
        <v>192</v>
      </c>
      <c r="B6" s="16"/>
      <c r="C6" s="5"/>
      <c r="D6" s="5"/>
      <c r="E6" s="5"/>
      <c r="F6" s="43"/>
      <c r="G6" s="5">
        <v>1</v>
      </c>
      <c r="H6" s="5">
        <v>1</v>
      </c>
      <c r="I6" s="5">
        <v>1</v>
      </c>
      <c r="J6" s="5">
        <v>1</v>
      </c>
      <c r="K6" s="5">
        <v>1</v>
      </c>
      <c r="L6" s="5">
        <v>1</v>
      </c>
      <c r="M6" s="6"/>
      <c r="N6" s="5"/>
      <c r="O6" s="5"/>
    </row>
    <row r="7" spans="1:15" ht="14.5" x14ac:dyDescent="0.35">
      <c r="A7" s="4" t="s">
        <v>193</v>
      </c>
      <c r="B7" s="16"/>
      <c r="C7" s="16"/>
      <c r="D7" s="16"/>
      <c r="E7" s="16"/>
      <c r="F7" s="44"/>
      <c r="G7" s="5">
        <v>1</v>
      </c>
      <c r="H7" s="5">
        <v>1</v>
      </c>
      <c r="I7" s="5">
        <v>1</v>
      </c>
      <c r="J7" s="5">
        <v>1</v>
      </c>
      <c r="K7" s="5">
        <v>1</v>
      </c>
      <c r="L7" s="5">
        <v>1</v>
      </c>
      <c r="M7" s="45"/>
      <c r="N7" s="16"/>
      <c r="O7" s="16"/>
    </row>
    <row r="8" spans="1:15" ht="14.5" x14ac:dyDescent="0.35">
      <c r="A8" s="3" t="s">
        <v>188</v>
      </c>
      <c r="B8" s="5"/>
      <c r="C8" s="5"/>
      <c r="D8" s="5"/>
      <c r="E8" s="5"/>
      <c r="F8" s="5"/>
      <c r="G8" s="5">
        <v>1</v>
      </c>
      <c r="H8" s="5">
        <v>1</v>
      </c>
      <c r="I8" s="5">
        <v>1</v>
      </c>
      <c r="J8" s="5">
        <v>1</v>
      </c>
      <c r="K8" s="5">
        <v>1</v>
      </c>
      <c r="L8" s="5">
        <v>1</v>
      </c>
      <c r="M8" s="5"/>
      <c r="N8" s="5"/>
      <c r="O8" s="5"/>
    </row>
    <row r="9" spans="1:15" ht="14.5" x14ac:dyDescent="0.35">
      <c r="A9" s="46" t="s">
        <v>194</v>
      </c>
      <c r="B9" s="53" t="s">
        <v>2</v>
      </c>
      <c r="C9" s="53" t="s">
        <v>3</v>
      </c>
      <c r="D9" s="53" t="s">
        <v>4</v>
      </c>
      <c r="E9" s="53" t="s">
        <v>5</v>
      </c>
      <c r="F9" s="53" t="s">
        <v>6</v>
      </c>
      <c r="G9" s="53" t="s">
        <v>7</v>
      </c>
      <c r="H9" s="53" t="s">
        <v>8</v>
      </c>
      <c r="I9" s="53" t="s">
        <v>9</v>
      </c>
      <c r="J9" s="53" t="s">
        <v>10</v>
      </c>
      <c r="K9" s="53" t="s">
        <v>11</v>
      </c>
      <c r="L9" s="53" t="s">
        <v>12</v>
      </c>
      <c r="M9" s="53" t="s">
        <v>13</v>
      </c>
      <c r="N9" s="53" t="s">
        <v>14</v>
      </c>
      <c r="O9" s="53" t="s">
        <v>15</v>
      </c>
    </row>
    <row r="10" spans="1:15" ht="26.5" x14ac:dyDescent="0.35">
      <c r="A10" s="47" t="s">
        <v>195</v>
      </c>
      <c r="B10" s="5">
        <v>3</v>
      </c>
      <c r="C10" s="5">
        <v>3</v>
      </c>
      <c r="D10" s="5">
        <v>2</v>
      </c>
      <c r="E10" s="5">
        <v>3</v>
      </c>
      <c r="F10" s="5">
        <v>3</v>
      </c>
      <c r="G10" s="5"/>
      <c r="H10" s="5"/>
      <c r="I10" s="5"/>
      <c r="J10" s="5"/>
      <c r="K10" s="13"/>
      <c r="L10" s="13"/>
      <c r="M10" s="13">
        <v>3</v>
      </c>
      <c r="N10" s="13">
        <v>2</v>
      </c>
      <c r="O10" s="14">
        <v>2</v>
      </c>
    </row>
    <row r="11" spans="1:15" ht="39.5" x14ac:dyDescent="0.35">
      <c r="A11" s="47" t="s">
        <v>196</v>
      </c>
      <c r="B11" s="5">
        <v>3</v>
      </c>
      <c r="C11" s="5">
        <v>3</v>
      </c>
      <c r="D11" s="5">
        <v>3</v>
      </c>
      <c r="E11" s="5">
        <v>3</v>
      </c>
      <c r="F11" s="5">
        <v>3</v>
      </c>
      <c r="G11" s="5"/>
      <c r="H11" s="5"/>
      <c r="I11" s="5"/>
      <c r="J11" s="5"/>
      <c r="K11" s="13"/>
      <c r="L11" s="13"/>
      <c r="M11" s="13">
        <v>3</v>
      </c>
      <c r="N11" s="13">
        <v>3</v>
      </c>
      <c r="O11" s="14">
        <v>3</v>
      </c>
    </row>
    <row r="12" spans="1:15" ht="26.5" x14ac:dyDescent="0.35">
      <c r="A12" s="47" t="s">
        <v>197</v>
      </c>
      <c r="B12" s="5">
        <v>3</v>
      </c>
      <c r="C12" s="5">
        <v>3</v>
      </c>
      <c r="D12" s="5">
        <v>2</v>
      </c>
      <c r="E12" s="5">
        <v>3</v>
      </c>
      <c r="F12" s="5">
        <v>3</v>
      </c>
      <c r="G12" s="5"/>
      <c r="H12" s="5"/>
      <c r="I12" s="5"/>
      <c r="J12" s="5"/>
      <c r="K12" s="13"/>
      <c r="L12" s="13"/>
      <c r="M12" s="13">
        <v>3</v>
      </c>
      <c r="N12" s="13">
        <v>3</v>
      </c>
      <c r="O12" s="14">
        <v>2</v>
      </c>
    </row>
    <row r="13" spans="1:15" ht="14.5" x14ac:dyDescent="0.35">
      <c r="A13" s="48" t="s">
        <v>198</v>
      </c>
      <c r="B13" s="5">
        <v>1</v>
      </c>
      <c r="C13" s="5">
        <v>1</v>
      </c>
      <c r="D13" s="5">
        <v>1</v>
      </c>
      <c r="E13" s="5">
        <v>1</v>
      </c>
      <c r="F13" s="5">
        <v>1</v>
      </c>
      <c r="G13" s="5"/>
      <c r="H13" s="5"/>
      <c r="I13" s="5"/>
      <c r="J13" s="5"/>
      <c r="K13" s="13"/>
      <c r="L13" s="13"/>
      <c r="M13" s="13">
        <v>3</v>
      </c>
      <c r="N13" s="13">
        <v>1</v>
      </c>
      <c r="O13" s="14">
        <v>1</v>
      </c>
    </row>
    <row r="14" spans="1:15" ht="26" x14ac:dyDescent="0.35">
      <c r="A14" s="48" t="s">
        <v>199</v>
      </c>
      <c r="B14" s="5">
        <v>3</v>
      </c>
      <c r="C14" s="5">
        <v>3</v>
      </c>
      <c r="D14" s="5">
        <v>2</v>
      </c>
      <c r="E14" s="5">
        <v>3</v>
      </c>
      <c r="F14" s="5">
        <v>3</v>
      </c>
      <c r="G14" s="5"/>
      <c r="H14" s="5"/>
      <c r="I14" s="5"/>
      <c r="J14" s="5"/>
      <c r="K14" s="13"/>
      <c r="L14" s="13"/>
      <c r="M14" s="13">
        <v>3</v>
      </c>
      <c r="N14" s="13">
        <v>3</v>
      </c>
      <c r="O14" s="14">
        <v>2</v>
      </c>
    </row>
    <row r="15" spans="1:15" ht="14.5" x14ac:dyDescent="0.35">
      <c r="A15" s="46" t="s">
        <v>194</v>
      </c>
      <c r="B15" s="54">
        <f t="shared" ref="B15:F15" si="0">SUM(B10:B14)/5</f>
        <v>2.6</v>
      </c>
      <c r="C15" s="54">
        <f t="shared" si="0"/>
        <v>2.6</v>
      </c>
      <c r="D15" s="54">
        <f t="shared" si="0"/>
        <v>2</v>
      </c>
      <c r="E15" s="54">
        <f t="shared" si="0"/>
        <v>2.6</v>
      </c>
      <c r="F15" s="54">
        <f t="shared" si="0"/>
        <v>2.6</v>
      </c>
      <c r="G15" s="54"/>
      <c r="H15" s="54"/>
      <c r="I15" s="54"/>
      <c r="J15" s="54"/>
      <c r="K15" s="54"/>
      <c r="L15" s="54"/>
      <c r="M15" s="54">
        <f t="shared" ref="M15:O15" si="1">SUM(M10:M14)/5</f>
        <v>3</v>
      </c>
      <c r="N15" s="54">
        <f t="shared" si="1"/>
        <v>2.4</v>
      </c>
      <c r="O15" s="54">
        <f t="shared" si="1"/>
        <v>2</v>
      </c>
    </row>
    <row r="16" spans="1:15" ht="14.5" x14ac:dyDescent="0.35">
      <c r="A16" s="46" t="s">
        <v>200</v>
      </c>
      <c r="B16" s="5" t="s">
        <v>2</v>
      </c>
      <c r="C16" s="5" t="s">
        <v>3</v>
      </c>
      <c r="D16" s="5" t="s">
        <v>4</v>
      </c>
      <c r="E16" s="5" t="s">
        <v>5</v>
      </c>
      <c r="F16" s="5" t="s">
        <v>6</v>
      </c>
      <c r="G16" s="5" t="s">
        <v>7</v>
      </c>
      <c r="H16" s="5" t="s">
        <v>8</v>
      </c>
      <c r="I16" s="5" t="s">
        <v>9</v>
      </c>
      <c r="J16" s="5" t="s">
        <v>10</v>
      </c>
      <c r="K16" s="5" t="s">
        <v>11</v>
      </c>
      <c r="L16" s="5" t="s">
        <v>12</v>
      </c>
      <c r="M16" s="5" t="s">
        <v>13</v>
      </c>
      <c r="N16" s="5" t="s">
        <v>14</v>
      </c>
      <c r="O16" s="5" t="s">
        <v>15</v>
      </c>
    </row>
    <row r="17" spans="1:15" ht="39.5" x14ac:dyDescent="0.35">
      <c r="A17" s="4" t="s">
        <v>201</v>
      </c>
      <c r="B17" s="4">
        <v>3</v>
      </c>
      <c r="C17" s="5">
        <v>3</v>
      </c>
      <c r="D17" s="5">
        <v>2</v>
      </c>
      <c r="E17" s="5">
        <v>3</v>
      </c>
      <c r="F17" s="5">
        <v>3</v>
      </c>
      <c r="G17" s="5" t="s">
        <v>202</v>
      </c>
      <c r="H17" s="5"/>
      <c r="I17" s="5"/>
      <c r="J17" s="5"/>
      <c r="K17" s="5"/>
      <c r="L17" s="5"/>
      <c r="M17" s="5">
        <v>3</v>
      </c>
      <c r="N17" s="5">
        <v>3</v>
      </c>
      <c r="O17" s="5">
        <v>2</v>
      </c>
    </row>
    <row r="18" spans="1:15" ht="26.5" x14ac:dyDescent="0.35">
      <c r="A18" s="4" t="s">
        <v>203</v>
      </c>
      <c r="B18" s="4">
        <v>3</v>
      </c>
      <c r="C18" s="5">
        <v>3</v>
      </c>
      <c r="D18" s="5">
        <v>2</v>
      </c>
      <c r="E18" s="5">
        <v>3</v>
      </c>
      <c r="F18" s="5">
        <v>3</v>
      </c>
      <c r="G18" s="5"/>
      <c r="H18" s="5"/>
      <c r="I18" s="5"/>
      <c r="J18" s="5"/>
      <c r="K18" s="5"/>
      <c r="L18" s="5"/>
      <c r="M18" s="5">
        <v>3</v>
      </c>
      <c r="N18" s="5">
        <v>3</v>
      </c>
      <c r="O18" s="5">
        <v>2</v>
      </c>
    </row>
    <row r="19" spans="1:15" ht="26.5" x14ac:dyDescent="0.35">
      <c r="A19" s="4" t="s">
        <v>204</v>
      </c>
      <c r="B19" s="4">
        <v>3</v>
      </c>
      <c r="C19" s="5">
        <v>3</v>
      </c>
      <c r="D19" s="5">
        <v>2</v>
      </c>
      <c r="E19" s="5">
        <v>3</v>
      </c>
      <c r="F19" s="5">
        <v>3</v>
      </c>
      <c r="G19" s="5"/>
      <c r="H19" s="5"/>
      <c r="I19" s="5"/>
      <c r="J19" s="5"/>
      <c r="K19" s="5"/>
      <c r="L19" s="5"/>
      <c r="M19" s="5">
        <v>3</v>
      </c>
      <c r="N19" s="5">
        <v>3</v>
      </c>
      <c r="O19" s="5">
        <v>2</v>
      </c>
    </row>
    <row r="20" spans="1:15" ht="26" x14ac:dyDescent="0.35">
      <c r="A20" s="17" t="s">
        <v>205</v>
      </c>
      <c r="B20" s="5">
        <v>3</v>
      </c>
      <c r="C20" s="5">
        <v>3</v>
      </c>
      <c r="D20" s="5">
        <v>2</v>
      </c>
      <c r="E20" s="5">
        <v>3</v>
      </c>
      <c r="F20" s="5">
        <v>3</v>
      </c>
      <c r="G20" s="5"/>
      <c r="H20" s="5"/>
      <c r="I20" s="5"/>
      <c r="J20" s="5"/>
      <c r="K20" s="5"/>
      <c r="L20" s="5"/>
      <c r="M20" s="5">
        <v>3</v>
      </c>
      <c r="N20" s="5">
        <v>3</v>
      </c>
      <c r="O20" s="5">
        <v>2</v>
      </c>
    </row>
    <row r="21" spans="1:15" ht="39" x14ac:dyDescent="0.35">
      <c r="A21" s="17" t="s">
        <v>206</v>
      </c>
      <c r="B21" s="4">
        <v>1</v>
      </c>
      <c r="C21" s="5">
        <v>1</v>
      </c>
      <c r="D21" s="5">
        <v>1</v>
      </c>
      <c r="E21" s="5">
        <v>1</v>
      </c>
      <c r="F21" s="5">
        <v>2</v>
      </c>
      <c r="G21" s="5"/>
      <c r="H21" s="5"/>
      <c r="I21" s="5"/>
      <c r="J21" s="5"/>
      <c r="K21" s="5"/>
      <c r="L21" s="5"/>
      <c r="M21" s="5">
        <v>3</v>
      </c>
      <c r="N21" s="5">
        <v>1</v>
      </c>
      <c r="O21" s="5">
        <v>1</v>
      </c>
    </row>
    <row r="22" spans="1:15" ht="14.5" x14ac:dyDescent="0.35">
      <c r="A22" s="46" t="s">
        <v>200</v>
      </c>
      <c r="B22" s="5">
        <v>2.6</v>
      </c>
      <c r="C22" s="5">
        <v>2.6</v>
      </c>
      <c r="D22" s="5">
        <v>1.8</v>
      </c>
      <c r="E22" s="5">
        <v>2.6</v>
      </c>
      <c r="F22" s="5">
        <v>2.8</v>
      </c>
      <c r="G22" s="5"/>
      <c r="H22" s="5"/>
      <c r="I22" s="5"/>
      <c r="J22" s="5"/>
      <c r="K22" s="5"/>
      <c r="L22" s="5"/>
      <c r="M22" s="5">
        <v>3</v>
      </c>
      <c r="N22" s="5">
        <v>2.6</v>
      </c>
      <c r="O22" s="5">
        <v>1.8</v>
      </c>
    </row>
    <row r="23" spans="1:15" ht="14.5" x14ac:dyDescent="0.35">
      <c r="A23" s="3" t="s">
        <v>207</v>
      </c>
      <c r="B23" s="5" t="s">
        <v>2</v>
      </c>
      <c r="C23" s="5" t="s">
        <v>3</v>
      </c>
      <c r="D23" s="5" t="s">
        <v>4</v>
      </c>
      <c r="E23" s="5" t="s">
        <v>5</v>
      </c>
      <c r="F23" s="5" t="s">
        <v>6</v>
      </c>
      <c r="G23" s="5" t="s">
        <v>7</v>
      </c>
      <c r="H23" s="5" t="s">
        <v>8</v>
      </c>
      <c r="I23" s="5" t="s">
        <v>9</v>
      </c>
      <c r="J23" s="5" t="s">
        <v>10</v>
      </c>
      <c r="K23" s="5" t="s">
        <v>11</v>
      </c>
      <c r="L23" s="5" t="s">
        <v>12</v>
      </c>
      <c r="M23" s="5" t="s">
        <v>13</v>
      </c>
      <c r="N23" s="5" t="s">
        <v>14</v>
      </c>
      <c r="O23" s="5" t="s">
        <v>15</v>
      </c>
    </row>
    <row r="24" spans="1:15" ht="14.5" x14ac:dyDescent="0.35">
      <c r="A24" s="4" t="s">
        <v>208</v>
      </c>
      <c r="B24" s="49">
        <v>1</v>
      </c>
      <c r="C24" s="49">
        <v>1</v>
      </c>
      <c r="D24" s="49">
        <v>1</v>
      </c>
      <c r="E24" s="49">
        <v>1</v>
      </c>
      <c r="F24" s="49">
        <v>1</v>
      </c>
      <c r="G24" s="50"/>
      <c r="H24" s="50"/>
      <c r="I24" s="50"/>
      <c r="J24" s="50"/>
      <c r="K24" s="50"/>
      <c r="L24" s="50"/>
      <c r="M24" s="49">
        <v>3</v>
      </c>
      <c r="N24" s="49">
        <v>1</v>
      </c>
      <c r="O24" s="49">
        <v>1</v>
      </c>
    </row>
    <row r="25" spans="1:15" ht="26.5" x14ac:dyDescent="0.35">
      <c r="A25" s="4" t="s">
        <v>209</v>
      </c>
      <c r="B25" s="49">
        <v>2</v>
      </c>
      <c r="C25" s="49">
        <v>2</v>
      </c>
      <c r="D25" s="49">
        <v>3</v>
      </c>
      <c r="E25" s="49">
        <v>3</v>
      </c>
      <c r="F25" s="49">
        <v>3</v>
      </c>
      <c r="G25" s="50"/>
      <c r="H25" s="50"/>
      <c r="I25" s="50"/>
      <c r="J25" s="50"/>
      <c r="K25" s="50"/>
      <c r="L25" s="50"/>
      <c r="M25" s="49">
        <v>3</v>
      </c>
      <c r="N25" s="49">
        <v>3</v>
      </c>
      <c r="O25" s="49">
        <v>2</v>
      </c>
    </row>
    <row r="26" spans="1:15" ht="26.5" x14ac:dyDescent="0.35">
      <c r="A26" s="4" t="s">
        <v>210</v>
      </c>
      <c r="B26" s="49">
        <v>2</v>
      </c>
      <c r="C26" s="49">
        <v>2</v>
      </c>
      <c r="D26" s="49">
        <v>3</v>
      </c>
      <c r="E26" s="49">
        <v>3</v>
      </c>
      <c r="F26" s="49">
        <v>3</v>
      </c>
      <c r="G26" s="50"/>
      <c r="H26" s="50"/>
      <c r="I26" s="50"/>
      <c r="J26" s="50"/>
      <c r="K26" s="50"/>
      <c r="L26" s="50"/>
      <c r="M26" s="49">
        <v>3</v>
      </c>
      <c r="N26" s="49">
        <v>3</v>
      </c>
      <c r="O26" s="49">
        <v>2</v>
      </c>
    </row>
    <row r="27" spans="1:15" ht="26.5" x14ac:dyDescent="0.35">
      <c r="A27" s="4" t="s">
        <v>211</v>
      </c>
      <c r="B27" s="49">
        <v>2</v>
      </c>
      <c r="C27" s="49">
        <v>2</v>
      </c>
      <c r="D27" s="49">
        <v>3</v>
      </c>
      <c r="E27" s="49">
        <v>3</v>
      </c>
      <c r="F27" s="49">
        <v>3</v>
      </c>
      <c r="G27" s="50"/>
      <c r="H27" s="50"/>
      <c r="I27" s="50"/>
      <c r="J27" s="50"/>
      <c r="K27" s="50"/>
      <c r="L27" s="50"/>
      <c r="M27" s="49">
        <v>3</v>
      </c>
      <c r="N27" s="49">
        <v>3</v>
      </c>
      <c r="O27" s="49">
        <v>2</v>
      </c>
    </row>
    <row r="28" spans="1:15" ht="26.5" x14ac:dyDescent="0.35">
      <c r="A28" s="4" t="s">
        <v>212</v>
      </c>
      <c r="B28" s="49">
        <v>2</v>
      </c>
      <c r="C28" s="49">
        <v>2</v>
      </c>
      <c r="D28" s="49">
        <v>3</v>
      </c>
      <c r="E28" s="49">
        <v>3</v>
      </c>
      <c r="F28" s="49">
        <v>3</v>
      </c>
      <c r="G28" s="50"/>
      <c r="H28" s="50"/>
      <c r="I28" s="50"/>
      <c r="J28" s="50"/>
      <c r="K28" s="50"/>
      <c r="L28" s="50"/>
      <c r="M28" s="49">
        <v>3</v>
      </c>
      <c r="N28" s="49">
        <v>3</v>
      </c>
      <c r="O28" s="49">
        <v>2</v>
      </c>
    </row>
    <row r="29" spans="1:15" ht="14.5" x14ac:dyDescent="0.35">
      <c r="A29" s="3" t="s">
        <v>207</v>
      </c>
      <c r="B29" s="49">
        <f t="shared" ref="B29:F29" si="2">SUM(B24:B28)/5</f>
        <v>1.8</v>
      </c>
      <c r="C29" s="49">
        <f t="shared" si="2"/>
        <v>1.8</v>
      </c>
      <c r="D29" s="49">
        <f t="shared" si="2"/>
        <v>2.6</v>
      </c>
      <c r="E29" s="49">
        <f t="shared" si="2"/>
        <v>2.6</v>
      </c>
      <c r="F29" s="49">
        <f t="shared" si="2"/>
        <v>2.6</v>
      </c>
      <c r="G29" s="49"/>
      <c r="H29" s="49"/>
      <c r="I29" s="49"/>
      <c r="J29" s="49"/>
      <c r="K29" s="49"/>
      <c r="L29" s="49"/>
      <c r="M29" s="49">
        <f t="shared" ref="M29:O29" si="3">SUM(M24:M28)/5</f>
        <v>3</v>
      </c>
      <c r="N29" s="49">
        <f t="shared" si="3"/>
        <v>2.6</v>
      </c>
      <c r="O29" s="49">
        <f t="shared" si="3"/>
        <v>1.8</v>
      </c>
    </row>
    <row r="30" spans="1:15" ht="14.5" x14ac:dyDescent="0.35">
      <c r="A30" s="3" t="s">
        <v>213</v>
      </c>
      <c r="B30" s="5" t="s">
        <v>2</v>
      </c>
      <c r="C30" s="5" t="s">
        <v>3</v>
      </c>
      <c r="D30" s="5" t="s">
        <v>4</v>
      </c>
      <c r="E30" s="5" t="s">
        <v>5</v>
      </c>
      <c r="F30" s="5" t="s">
        <v>6</v>
      </c>
      <c r="G30" s="5" t="s">
        <v>7</v>
      </c>
      <c r="H30" s="5" t="s">
        <v>8</v>
      </c>
      <c r="I30" s="5" t="s">
        <v>9</v>
      </c>
      <c r="J30" s="5" t="s">
        <v>10</v>
      </c>
      <c r="K30" s="5" t="s">
        <v>11</v>
      </c>
      <c r="L30" s="5" t="s">
        <v>12</v>
      </c>
      <c r="M30" s="5" t="s">
        <v>13</v>
      </c>
      <c r="N30" s="5" t="s">
        <v>14</v>
      </c>
      <c r="O30" s="5" t="s">
        <v>15</v>
      </c>
    </row>
    <row r="31" spans="1:15" ht="14.5" x14ac:dyDescent="0.35">
      <c r="A31" s="4" t="s">
        <v>214</v>
      </c>
      <c r="B31" s="14">
        <v>3</v>
      </c>
      <c r="C31" s="14">
        <v>3</v>
      </c>
      <c r="D31" s="14">
        <v>2</v>
      </c>
      <c r="E31" s="14">
        <v>3</v>
      </c>
      <c r="F31" s="14">
        <v>3</v>
      </c>
      <c r="G31" s="14"/>
      <c r="H31" s="14"/>
      <c r="I31" s="14"/>
      <c r="J31" s="14"/>
      <c r="K31" s="14">
        <v>3</v>
      </c>
      <c r="L31" s="4"/>
      <c r="M31" s="14">
        <v>3</v>
      </c>
      <c r="N31" s="14">
        <v>3</v>
      </c>
      <c r="O31" s="14">
        <v>2</v>
      </c>
    </row>
    <row r="32" spans="1:15" ht="14.5" x14ac:dyDescent="0.35">
      <c r="A32" s="4" t="s">
        <v>215</v>
      </c>
      <c r="B32" s="14">
        <v>3</v>
      </c>
      <c r="C32" s="14">
        <v>3</v>
      </c>
      <c r="D32" s="14">
        <v>2</v>
      </c>
      <c r="E32" s="14">
        <v>3</v>
      </c>
      <c r="F32" s="14">
        <v>3</v>
      </c>
      <c r="G32" s="14"/>
      <c r="H32" s="14"/>
      <c r="I32" s="14"/>
      <c r="J32" s="14"/>
      <c r="K32" s="14">
        <v>3</v>
      </c>
      <c r="L32" s="4"/>
      <c r="M32" s="14">
        <v>3</v>
      </c>
      <c r="N32" s="14">
        <v>3</v>
      </c>
      <c r="O32" s="14">
        <v>2</v>
      </c>
    </row>
    <row r="33" spans="1:15" ht="39" x14ac:dyDescent="0.35">
      <c r="A33" s="51" t="s">
        <v>216</v>
      </c>
      <c r="B33" s="14">
        <v>3</v>
      </c>
      <c r="C33" s="14">
        <v>3</v>
      </c>
      <c r="D33" s="14">
        <v>2</v>
      </c>
      <c r="E33" s="14">
        <v>3</v>
      </c>
      <c r="F33" s="14">
        <v>3</v>
      </c>
      <c r="G33" s="14"/>
      <c r="H33" s="14"/>
      <c r="I33" s="14"/>
      <c r="J33" s="14"/>
      <c r="K33" s="14">
        <v>3</v>
      </c>
      <c r="L33" s="4"/>
      <c r="M33" s="14">
        <v>3</v>
      </c>
      <c r="N33" s="14">
        <v>3</v>
      </c>
      <c r="O33" s="14">
        <v>2</v>
      </c>
    </row>
    <row r="34" spans="1:15" ht="26" x14ac:dyDescent="0.35">
      <c r="A34" s="51" t="s">
        <v>217</v>
      </c>
      <c r="B34" s="5">
        <f t="shared" ref="B34:F34" si="4">AVERAGE(B31:B33)</f>
        <v>3</v>
      </c>
      <c r="C34" s="5">
        <f t="shared" si="4"/>
        <v>3</v>
      </c>
      <c r="D34" s="5">
        <f t="shared" si="4"/>
        <v>2</v>
      </c>
      <c r="E34" s="5">
        <f t="shared" si="4"/>
        <v>3</v>
      </c>
      <c r="F34" s="5">
        <f t="shared" si="4"/>
        <v>3</v>
      </c>
      <c r="G34" s="5"/>
      <c r="H34" s="5"/>
      <c r="I34" s="5"/>
      <c r="J34" s="5"/>
      <c r="K34" s="5">
        <v>3</v>
      </c>
      <c r="L34" s="4"/>
      <c r="M34" s="5">
        <f t="shared" ref="M34:O34" si="5">AVERAGE(M31:M33)</f>
        <v>3</v>
      </c>
      <c r="N34" s="5">
        <f t="shared" si="5"/>
        <v>3</v>
      </c>
      <c r="O34" s="5">
        <f t="shared" si="5"/>
        <v>2</v>
      </c>
    </row>
    <row r="35" spans="1:15" ht="14.5" x14ac:dyDescent="0.35">
      <c r="A35" s="3" t="s">
        <v>213</v>
      </c>
      <c r="B35" s="5">
        <f t="shared" ref="B35:F35" si="6">SUM(B31:B34)/4</f>
        <v>3</v>
      </c>
      <c r="C35" s="5">
        <f t="shared" si="6"/>
        <v>3</v>
      </c>
      <c r="D35" s="5">
        <f t="shared" si="6"/>
        <v>2</v>
      </c>
      <c r="E35" s="5">
        <f t="shared" si="6"/>
        <v>3</v>
      </c>
      <c r="F35" s="5">
        <f t="shared" si="6"/>
        <v>3</v>
      </c>
      <c r="G35" s="5"/>
      <c r="H35" s="5"/>
      <c r="I35" s="5"/>
      <c r="J35" s="5"/>
      <c r="K35" s="5">
        <f>SUM(K31:K34)/4</f>
        <v>3</v>
      </c>
      <c r="L35" s="4"/>
      <c r="M35" s="5">
        <f t="shared" ref="M35:O35" si="7">SUM(M31:M34)/4</f>
        <v>3</v>
      </c>
      <c r="N35" s="5">
        <f t="shared" si="7"/>
        <v>3</v>
      </c>
      <c r="O35" s="5">
        <f t="shared" si="7"/>
        <v>2</v>
      </c>
    </row>
    <row r="36" spans="1:15" ht="14.5" x14ac:dyDescent="0.35">
      <c r="A36" s="3" t="s">
        <v>218</v>
      </c>
      <c r="B36" s="5" t="s">
        <v>2</v>
      </c>
      <c r="C36" s="5" t="s">
        <v>3</v>
      </c>
      <c r="D36" s="5" t="s">
        <v>4</v>
      </c>
      <c r="E36" s="5" t="s">
        <v>5</v>
      </c>
      <c r="F36" s="5" t="s">
        <v>6</v>
      </c>
      <c r="G36" s="5" t="s">
        <v>7</v>
      </c>
      <c r="H36" s="5" t="s">
        <v>8</v>
      </c>
      <c r="I36" s="5" t="s">
        <v>9</v>
      </c>
      <c r="J36" s="5" t="s">
        <v>10</v>
      </c>
      <c r="K36" s="5" t="s">
        <v>11</v>
      </c>
      <c r="L36" s="5" t="s">
        <v>12</v>
      </c>
      <c r="M36" s="5" t="s">
        <v>13</v>
      </c>
      <c r="N36" s="5" t="s">
        <v>14</v>
      </c>
      <c r="O36" s="5" t="s">
        <v>15</v>
      </c>
    </row>
    <row r="37" spans="1:15" ht="14.5" x14ac:dyDescent="0.35">
      <c r="A37" s="51" t="s">
        <v>219</v>
      </c>
      <c r="B37" s="4">
        <v>3</v>
      </c>
      <c r="C37" s="4">
        <v>3</v>
      </c>
      <c r="D37" s="4">
        <v>3</v>
      </c>
      <c r="E37" s="4">
        <v>3</v>
      </c>
      <c r="F37" s="4">
        <v>3</v>
      </c>
      <c r="G37" s="4"/>
      <c r="H37" s="4"/>
      <c r="I37" s="4"/>
      <c r="J37" s="4"/>
      <c r="K37" s="4"/>
      <c r="L37" s="4"/>
      <c r="M37" s="4">
        <v>3</v>
      </c>
      <c r="N37" s="4">
        <v>3</v>
      </c>
      <c r="O37" s="4">
        <v>3</v>
      </c>
    </row>
    <row r="38" spans="1:15" ht="26" x14ac:dyDescent="0.35">
      <c r="A38" s="51" t="s">
        <v>220</v>
      </c>
      <c r="B38" s="4">
        <v>3</v>
      </c>
      <c r="C38" s="4">
        <v>3</v>
      </c>
      <c r="D38" s="4">
        <v>3</v>
      </c>
      <c r="E38" s="4">
        <v>3</v>
      </c>
      <c r="F38" s="4">
        <v>3</v>
      </c>
      <c r="G38" s="4"/>
      <c r="H38" s="4"/>
      <c r="I38" s="4"/>
      <c r="J38" s="4"/>
      <c r="K38" s="4"/>
      <c r="L38" s="4"/>
      <c r="M38" s="4">
        <v>3</v>
      </c>
      <c r="N38" s="4">
        <v>3</v>
      </c>
      <c r="O38" s="4">
        <v>3</v>
      </c>
    </row>
    <row r="39" spans="1:15" ht="26" x14ac:dyDescent="0.35">
      <c r="A39" s="51" t="s">
        <v>221</v>
      </c>
      <c r="B39" s="4">
        <v>3</v>
      </c>
      <c r="C39" s="4">
        <v>3</v>
      </c>
      <c r="D39" s="4">
        <v>3</v>
      </c>
      <c r="E39" s="4">
        <v>3</v>
      </c>
      <c r="F39" s="4">
        <v>3</v>
      </c>
      <c r="G39" s="4"/>
      <c r="H39" s="4"/>
      <c r="I39" s="4"/>
      <c r="J39" s="4"/>
      <c r="K39" s="4"/>
      <c r="L39" s="4"/>
      <c r="M39" s="4">
        <v>3</v>
      </c>
      <c r="N39" s="4">
        <v>3</v>
      </c>
      <c r="O39" s="4">
        <v>3</v>
      </c>
    </row>
    <row r="40" spans="1:15" ht="39" x14ac:dyDescent="0.35">
      <c r="A40" s="51" t="s">
        <v>222</v>
      </c>
      <c r="B40" s="4"/>
      <c r="C40" s="4"/>
      <c r="D40" s="4"/>
      <c r="E40" s="4"/>
      <c r="F40" s="4"/>
      <c r="G40" s="4"/>
      <c r="H40" s="4"/>
      <c r="I40" s="4"/>
      <c r="J40" s="4"/>
      <c r="K40" s="4">
        <v>3</v>
      </c>
      <c r="L40" s="4"/>
      <c r="M40" s="4"/>
      <c r="N40" s="4"/>
      <c r="O40" s="4"/>
    </row>
    <row r="41" spans="1:15" ht="26" x14ac:dyDescent="0.35">
      <c r="A41" s="51" t="s">
        <v>223</v>
      </c>
      <c r="B41" s="4">
        <v>3</v>
      </c>
      <c r="C41" s="4">
        <v>3</v>
      </c>
      <c r="D41" s="4">
        <v>2</v>
      </c>
      <c r="E41" s="4">
        <v>3</v>
      </c>
      <c r="F41" s="4">
        <v>3</v>
      </c>
      <c r="G41" s="4"/>
      <c r="H41" s="4"/>
      <c r="I41" s="4"/>
      <c r="J41" s="4">
        <v>3</v>
      </c>
      <c r="K41" s="4">
        <v>3</v>
      </c>
      <c r="L41" s="4"/>
      <c r="M41" s="4">
        <v>3</v>
      </c>
      <c r="N41" s="4">
        <v>3</v>
      </c>
      <c r="O41" s="4">
        <v>2</v>
      </c>
    </row>
    <row r="42" spans="1:15" ht="14.5" x14ac:dyDescent="0.35">
      <c r="A42" s="3" t="s">
        <v>218</v>
      </c>
      <c r="B42" s="4">
        <f t="shared" ref="B42:F42" si="8">AVERAGE(B37:B41)</f>
        <v>3</v>
      </c>
      <c r="C42" s="4">
        <f t="shared" si="8"/>
        <v>3</v>
      </c>
      <c r="D42" s="4">
        <f t="shared" si="8"/>
        <v>2.75</v>
      </c>
      <c r="E42" s="4">
        <f t="shared" si="8"/>
        <v>3</v>
      </c>
      <c r="F42" s="4">
        <f t="shared" si="8"/>
        <v>3</v>
      </c>
      <c r="G42" s="4"/>
      <c r="H42" s="4"/>
      <c r="I42" s="4"/>
      <c r="J42" s="4">
        <f t="shared" ref="J42:K42" si="9">AVERAGE(J37:J41)</f>
        <v>3</v>
      </c>
      <c r="K42" s="4">
        <f t="shared" si="9"/>
        <v>3</v>
      </c>
      <c r="L42" s="4"/>
      <c r="M42" s="4">
        <f t="shared" ref="M42:O42" si="10">AVERAGE(M37:M41)</f>
        <v>3</v>
      </c>
      <c r="N42" s="4">
        <f t="shared" si="10"/>
        <v>3</v>
      </c>
      <c r="O42" s="4">
        <f t="shared" si="10"/>
        <v>2.75</v>
      </c>
    </row>
    <row r="43" spans="1:15" ht="14.5" x14ac:dyDescent="0.35">
      <c r="A43" s="3" t="s">
        <v>224</v>
      </c>
      <c r="B43" s="5" t="s">
        <v>2</v>
      </c>
      <c r="C43" s="5" t="s">
        <v>3</v>
      </c>
      <c r="D43" s="5" t="s">
        <v>4</v>
      </c>
      <c r="E43" s="5" t="s">
        <v>5</v>
      </c>
      <c r="F43" s="5" t="s">
        <v>6</v>
      </c>
      <c r="G43" s="5" t="s">
        <v>7</v>
      </c>
      <c r="H43" s="5" t="s">
        <v>8</v>
      </c>
      <c r="I43" s="5" t="s">
        <v>9</v>
      </c>
      <c r="J43" s="5" t="s">
        <v>10</v>
      </c>
      <c r="K43" s="5" t="s">
        <v>11</v>
      </c>
      <c r="L43" s="5" t="s">
        <v>12</v>
      </c>
      <c r="M43" s="5" t="s">
        <v>13</v>
      </c>
      <c r="N43" s="5" t="s">
        <v>14</v>
      </c>
      <c r="O43" s="5" t="s">
        <v>15</v>
      </c>
    </row>
    <row r="44" spans="1:15" ht="14.5" x14ac:dyDescent="0.35">
      <c r="A44" s="4" t="s">
        <v>225</v>
      </c>
      <c r="B44" s="4"/>
      <c r="C44" s="4"/>
      <c r="D44" s="4"/>
      <c r="E44" s="4"/>
      <c r="F44" s="4"/>
      <c r="G44" s="4">
        <v>1</v>
      </c>
      <c r="H44" s="4">
        <v>1</v>
      </c>
      <c r="I44" s="4">
        <v>1</v>
      </c>
      <c r="J44" s="4">
        <v>1</v>
      </c>
      <c r="K44" s="4">
        <v>1</v>
      </c>
      <c r="L44" s="4"/>
      <c r="M44" s="4"/>
      <c r="N44" s="4"/>
      <c r="O44" s="4"/>
    </row>
    <row r="45" spans="1:15" ht="26.5" x14ac:dyDescent="0.35">
      <c r="A45" s="4" t="s">
        <v>226</v>
      </c>
      <c r="B45" s="4"/>
      <c r="C45" s="4"/>
      <c r="D45" s="4"/>
      <c r="E45" s="4"/>
      <c r="F45" s="4"/>
      <c r="G45" s="4">
        <v>1</v>
      </c>
      <c r="H45" s="4">
        <v>1</v>
      </c>
      <c r="I45" s="4">
        <v>1</v>
      </c>
      <c r="J45" s="4">
        <v>1</v>
      </c>
      <c r="K45" s="4">
        <v>1</v>
      </c>
      <c r="L45" s="4"/>
      <c r="M45" s="4"/>
      <c r="N45" s="4"/>
      <c r="O45" s="4"/>
    </row>
    <row r="46" spans="1:15" ht="14.5" x14ac:dyDescent="0.35">
      <c r="A46" s="4" t="s">
        <v>227</v>
      </c>
      <c r="B46" s="4"/>
      <c r="C46" s="4"/>
      <c r="D46" s="4"/>
      <c r="E46" s="4"/>
      <c r="F46" s="4"/>
      <c r="G46" s="4">
        <v>1</v>
      </c>
      <c r="H46" s="4">
        <v>1</v>
      </c>
      <c r="I46" s="4">
        <v>1</v>
      </c>
      <c r="J46" s="4">
        <v>1</v>
      </c>
      <c r="K46" s="4">
        <v>1</v>
      </c>
      <c r="L46" s="4"/>
      <c r="M46" s="4"/>
      <c r="N46" s="4"/>
      <c r="O46" s="4"/>
    </row>
    <row r="47" spans="1:15" ht="14.5" x14ac:dyDescent="0.35">
      <c r="A47" s="4" t="s">
        <v>228</v>
      </c>
      <c r="B47" s="4"/>
      <c r="C47" s="4"/>
      <c r="D47" s="4"/>
      <c r="E47" s="4"/>
      <c r="F47" s="4"/>
      <c r="G47" s="4">
        <v>2</v>
      </c>
      <c r="H47" s="4">
        <v>2</v>
      </c>
      <c r="I47" s="4">
        <v>2</v>
      </c>
      <c r="J47" s="4">
        <v>2</v>
      </c>
      <c r="K47" s="4">
        <v>2</v>
      </c>
      <c r="L47" s="4"/>
      <c r="M47" s="4"/>
      <c r="N47" s="4"/>
      <c r="O47" s="4"/>
    </row>
    <row r="48" spans="1:15" ht="14.5" x14ac:dyDescent="0.35">
      <c r="A48" s="4" t="s">
        <v>229</v>
      </c>
      <c r="B48" s="4"/>
      <c r="C48" s="4"/>
      <c r="D48" s="4"/>
      <c r="E48" s="4"/>
      <c r="F48" s="4"/>
      <c r="G48" s="4">
        <v>1</v>
      </c>
      <c r="H48" s="4">
        <v>1</v>
      </c>
      <c r="I48" s="4">
        <v>1</v>
      </c>
      <c r="J48" s="4">
        <v>1</v>
      </c>
      <c r="K48" s="4">
        <v>1</v>
      </c>
      <c r="L48" s="4"/>
      <c r="M48" s="4"/>
      <c r="N48" s="4"/>
      <c r="O48" s="4"/>
    </row>
    <row r="49" spans="1:15" ht="14.5" x14ac:dyDescent="0.35">
      <c r="A49" s="3" t="s">
        <v>224</v>
      </c>
      <c r="B49" s="4"/>
      <c r="C49" s="4"/>
      <c r="D49" s="4"/>
      <c r="E49" s="4"/>
      <c r="F49" s="4"/>
      <c r="G49" s="4">
        <f t="shared" ref="G49:K49" si="11">AVERAGE(G44:G48)</f>
        <v>1.2</v>
      </c>
      <c r="H49" s="4">
        <f t="shared" si="11"/>
        <v>1.2</v>
      </c>
      <c r="I49" s="4">
        <f t="shared" si="11"/>
        <v>1.2</v>
      </c>
      <c r="J49" s="4">
        <f t="shared" si="11"/>
        <v>1.2</v>
      </c>
      <c r="K49" s="4">
        <f t="shared" si="11"/>
        <v>1.2</v>
      </c>
      <c r="L49" s="4"/>
      <c r="M49" s="4"/>
      <c r="N49" s="4"/>
      <c r="O49" s="4"/>
    </row>
    <row r="50" spans="1:15" ht="14.5" x14ac:dyDescent="0.35">
      <c r="A50" s="3" t="s">
        <v>230</v>
      </c>
      <c r="B50" s="5" t="s">
        <v>2</v>
      </c>
      <c r="C50" s="5" t="s">
        <v>3</v>
      </c>
      <c r="D50" s="5" t="s">
        <v>4</v>
      </c>
      <c r="E50" s="5" t="s">
        <v>5</v>
      </c>
      <c r="F50" s="5" t="s">
        <v>6</v>
      </c>
      <c r="G50" s="5" t="s">
        <v>7</v>
      </c>
      <c r="H50" s="5" t="s">
        <v>8</v>
      </c>
      <c r="I50" s="5" t="s">
        <v>9</v>
      </c>
      <c r="J50" s="5" t="s">
        <v>10</v>
      </c>
      <c r="K50" s="5" t="s">
        <v>11</v>
      </c>
      <c r="L50" s="5" t="s">
        <v>12</v>
      </c>
      <c r="M50" s="5" t="s">
        <v>13</v>
      </c>
      <c r="N50" s="5" t="s">
        <v>14</v>
      </c>
      <c r="O50" s="5" t="s">
        <v>15</v>
      </c>
    </row>
    <row r="51" spans="1:15" ht="14.5" x14ac:dyDescent="0.35">
      <c r="A51" s="51" t="s">
        <v>231</v>
      </c>
      <c r="B51" s="4">
        <v>3</v>
      </c>
      <c r="C51" s="4">
        <v>3</v>
      </c>
      <c r="D51" s="4">
        <v>3</v>
      </c>
      <c r="E51" s="4">
        <v>3</v>
      </c>
      <c r="F51" s="4">
        <v>3</v>
      </c>
      <c r="G51" s="4"/>
      <c r="H51" s="4"/>
      <c r="I51" s="4"/>
      <c r="J51" s="4"/>
      <c r="K51" s="4"/>
      <c r="L51" s="4"/>
      <c r="M51" s="4">
        <v>3</v>
      </c>
      <c r="N51" s="4">
        <v>3</v>
      </c>
      <c r="O51" s="4">
        <v>3</v>
      </c>
    </row>
    <row r="52" spans="1:15" ht="26" x14ac:dyDescent="0.35">
      <c r="A52" s="51" t="s">
        <v>232</v>
      </c>
      <c r="B52" s="4">
        <v>3</v>
      </c>
      <c r="C52" s="4">
        <v>3</v>
      </c>
      <c r="D52" s="4">
        <v>3</v>
      </c>
      <c r="E52" s="4">
        <v>3</v>
      </c>
      <c r="F52" s="4">
        <v>3</v>
      </c>
      <c r="G52" s="4"/>
      <c r="H52" s="4"/>
      <c r="I52" s="4"/>
      <c r="J52" s="4"/>
      <c r="K52" s="4"/>
      <c r="L52" s="4"/>
      <c r="M52" s="4">
        <v>3</v>
      </c>
      <c r="N52" s="4">
        <v>3</v>
      </c>
      <c r="O52" s="4">
        <v>3</v>
      </c>
    </row>
    <row r="53" spans="1:15" ht="26" x14ac:dyDescent="0.35">
      <c r="A53" s="51" t="s">
        <v>233</v>
      </c>
      <c r="B53" s="4">
        <v>3</v>
      </c>
      <c r="C53" s="4">
        <v>3</v>
      </c>
      <c r="D53" s="4">
        <v>3</v>
      </c>
      <c r="E53" s="4">
        <v>3</v>
      </c>
      <c r="F53" s="4">
        <v>3</v>
      </c>
      <c r="G53" s="4"/>
      <c r="H53" s="4"/>
      <c r="I53" s="4"/>
      <c r="J53" s="4"/>
      <c r="K53" s="4"/>
      <c r="L53" s="4"/>
      <c r="M53" s="4">
        <v>3</v>
      </c>
      <c r="N53" s="4">
        <v>3</v>
      </c>
      <c r="O53" s="4">
        <v>3</v>
      </c>
    </row>
    <row r="54" spans="1:15" ht="39" x14ac:dyDescent="0.35">
      <c r="A54" s="51" t="s">
        <v>234</v>
      </c>
      <c r="B54" s="4"/>
      <c r="C54" s="4"/>
      <c r="D54" s="4"/>
      <c r="E54" s="4"/>
      <c r="F54" s="4"/>
      <c r="G54" s="4"/>
      <c r="H54" s="4"/>
      <c r="I54" s="4"/>
      <c r="J54" s="4"/>
      <c r="K54" s="4">
        <v>3</v>
      </c>
      <c r="L54" s="4"/>
      <c r="M54" s="4"/>
      <c r="N54" s="4"/>
      <c r="O54" s="4"/>
    </row>
    <row r="55" spans="1:15" ht="26" x14ac:dyDescent="0.35">
      <c r="A55" s="51" t="s">
        <v>235</v>
      </c>
      <c r="B55" s="4">
        <v>3</v>
      </c>
      <c r="C55" s="4">
        <v>3</v>
      </c>
      <c r="D55" s="4">
        <v>2</v>
      </c>
      <c r="E55" s="4">
        <v>3</v>
      </c>
      <c r="F55" s="4">
        <v>3</v>
      </c>
      <c r="G55" s="4"/>
      <c r="H55" s="4"/>
      <c r="I55" s="4"/>
      <c r="J55" s="4">
        <v>3</v>
      </c>
      <c r="K55" s="4">
        <v>3</v>
      </c>
      <c r="L55" s="4"/>
      <c r="M55" s="4">
        <v>3</v>
      </c>
      <c r="N55" s="4">
        <v>3</v>
      </c>
      <c r="O55" s="4">
        <v>2</v>
      </c>
    </row>
    <row r="56" spans="1:15" ht="14.5" x14ac:dyDescent="0.35">
      <c r="A56" s="3" t="s">
        <v>230</v>
      </c>
      <c r="B56" s="4">
        <f t="shared" ref="B56:F56" si="12">AVERAGE(B51:B55)</f>
        <v>3</v>
      </c>
      <c r="C56" s="4">
        <f t="shared" si="12"/>
        <v>3</v>
      </c>
      <c r="D56" s="4">
        <f t="shared" si="12"/>
        <v>2.75</v>
      </c>
      <c r="E56" s="4">
        <f t="shared" si="12"/>
        <v>3</v>
      </c>
      <c r="F56" s="4">
        <f t="shared" si="12"/>
        <v>3</v>
      </c>
      <c r="G56" s="4"/>
      <c r="H56" s="4"/>
      <c r="I56" s="4"/>
      <c r="J56" s="4">
        <f t="shared" ref="J56:K56" si="13">AVERAGE(J51:J55)</f>
        <v>3</v>
      </c>
      <c r="K56" s="4">
        <f t="shared" si="13"/>
        <v>3</v>
      </c>
      <c r="L56" s="4"/>
      <c r="M56" s="4">
        <f t="shared" ref="M56:O56" si="14">AVERAGE(M51:M55)</f>
        <v>3</v>
      </c>
      <c r="N56" s="4">
        <f t="shared" si="14"/>
        <v>3</v>
      </c>
      <c r="O56" s="4">
        <f t="shared" si="14"/>
        <v>2.75</v>
      </c>
    </row>
    <row r="57" spans="1:15" ht="15.75" customHeight="1" x14ac:dyDescent="0.35"/>
    <row r="58" spans="1:15" ht="15.75" customHeight="1" x14ac:dyDescent="0.35"/>
    <row r="59" spans="1:15" ht="15.75" customHeight="1" x14ac:dyDescent="0.35"/>
    <row r="60" spans="1:15" ht="15.75" customHeight="1" x14ac:dyDescent="0.35"/>
    <row r="61" spans="1:15" ht="15.75" customHeight="1" x14ac:dyDescent="0.35"/>
    <row r="62" spans="1:15" ht="15.75" customHeight="1" x14ac:dyDescent="0.35"/>
    <row r="63" spans="1:15" ht="15.75" customHeight="1" x14ac:dyDescent="0.35"/>
    <row r="64" spans="1:15"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sheetData>
  <pageMargins left="0.25" right="0.25" top="0.75" bottom="0.75" header="0.3" footer="0.3"/>
  <pageSetup paperSize="9" scale="96" fitToHeight="0" orientation="landscape" r:id="rId1"/>
  <rowBreaks count="2" manualBreakCount="2">
    <brk id="22" max="16383" man="1"/>
    <brk id="4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CO-PO Mapping 2nd</vt:lpstr>
      <vt:lpstr>CO-PO Mapping 3rd</vt:lpstr>
      <vt:lpstr>CO-PO Mapping 4th</vt:lpstr>
      <vt:lpstr>'CO-PO Mapping 2nd'!_GoBack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JC</dc:creator>
  <cp:lastModifiedBy>Jitender Chhabra</cp:lastModifiedBy>
  <cp:lastPrinted>2025-11-05T15:24:10Z</cp:lastPrinted>
  <dcterms:created xsi:type="dcterms:W3CDTF">2022-02-02T05:40:47Z</dcterms:created>
  <dcterms:modified xsi:type="dcterms:W3CDTF">2026-06-23T09:05:14Z</dcterms:modified>
</cp:coreProperties>
</file>